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lao\Downloads\"/>
    </mc:Choice>
  </mc:AlternateContent>
  <xr:revisionPtr revIDLastSave="0" documentId="13_ncr:20001_{0E763060-4C60-4B0E-A580-59F08330A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Titular" sheetId="2" r:id="rId2"/>
    <sheet name="Bancos" sheetId="3" r:id="rId3"/>
    <sheet name="Rendimentos" sheetId="4" r:id="rId4"/>
    <sheet name="Bens" sheetId="5" r:id="rId5"/>
    <sheet name="Pagamentos" sheetId="6" r:id="rId6"/>
    <sheet name="Documentos" sheetId="7" r:id="rId7"/>
    <sheet name="Listas" sheetId="8" state="hidden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H2" i="1"/>
  <c r="G2" i="1"/>
  <c r="F2" i="1"/>
  <c r="E2" i="1"/>
  <c r="D2" i="1"/>
  <c r="C2" i="1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H2" i="7"/>
  <c r="G2" i="7"/>
  <c r="F2" i="7"/>
  <c r="E2" i="7"/>
  <c r="D2" i="7"/>
  <c r="C2" i="7"/>
  <c r="B2" i="7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H2" i="6"/>
  <c r="G2" i="6"/>
  <c r="F2" i="6"/>
  <c r="E2" i="6"/>
  <c r="D2" i="6"/>
  <c r="C2" i="6"/>
  <c r="B2" i="6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H2" i="5"/>
  <c r="G2" i="5"/>
  <c r="F2" i="5"/>
  <c r="E2" i="5"/>
  <c r="D2" i="5"/>
  <c r="C2" i="5"/>
  <c r="B2" i="5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H2" i="4"/>
  <c r="G2" i="4"/>
  <c r="F2" i="4"/>
  <c r="E2" i="4"/>
  <c r="D2" i="4"/>
  <c r="C2" i="4"/>
  <c r="B2" i="4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E17" i="1" s="1"/>
  <c r="H2" i="3"/>
  <c r="G2" i="3"/>
  <c r="H2" i="2"/>
  <c r="G2" i="2"/>
  <c r="F2" i="2"/>
  <c r="E2" i="2"/>
  <c r="D2" i="2"/>
  <c r="C2" i="2"/>
  <c r="B2" i="2"/>
  <c r="H18" i="1"/>
  <c r="E18" i="1"/>
  <c r="H16" i="1"/>
  <c r="E16" i="1"/>
  <c r="N10" i="1"/>
  <c r="E19" i="1" s="1"/>
  <c r="K10" i="1"/>
  <c r="H10" i="1"/>
  <c r="E10" i="1"/>
  <c r="B10" i="1"/>
  <c r="B2" i="1"/>
</calcChain>
</file>

<file path=xl/sharedStrings.xml><?xml version="1.0" encoding="utf-8"?>
<sst xmlns="http://schemas.openxmlformats.org/spreadsheetml/2006/main" count="247" uniqueCount="189">
  <si>
    <t>Agregador de dados para Imposto de Renda</t>
  </si>
  <si>
    <t>Ano-calendário</t>
  </si>
  <si>
    <t>Saldos bancários</t>
  </si>
  <si>
    <t>Rendimentos brutos</t>
  </si>
  <si>
    <t>Bens e direitos</t>
  </si>
  <si>
    <t>Pagamentos dedutíveis</t>
  </si>
  <si>
    <t>Documentos pendentes</t>
  </si>
  <si>
    <t>Verificação do preenchimento</t>
  </si>
  <si>
    <t>Links rápidos</t>
  </si>
  <si>
    <t>Etapa</t>
  </si>
  <si>
    <t>Situação</t>
  </si>
  <si>
    <t>Dados do titular</t>
  </si>
  <si>
    <t>Contas bancárias</t>
  </si>
  <si>
    <t>Rendimentos</t>
  </si>
  <si>
    <t>Documentos</t>
  </si>
  <si>
    <t>Nome completo</t>
  </si>
  <si>
    <t>Pessoa Exemplo</t>
  </si>
  <si>
    <t>CPF</t>
  </si>
  <si>
    <t>000.000.000-00</t>
  </si>
  <si>
    <t>Data de nascimento</t>
  </si>
  <si>
    <t>Título de eleitor</t>
  </si>
  <si>
    <t>000000000000</t>
  </si>
  <si>
    <t>Cônjuge</t>
  </si>
  <si>
    <t>Endereço</t>
  </si>
  <si>
    <t>Endereço fictício</t>
  </si>
  <si>
    <t>CEP</t>
  </si>
  <si>
    <t>00000-000</t>
  </si>
  <si>
    <t>Telefone</t>
  </si>
  <si>
    <t>(00) 00000-0000</t>
  </si>
  <si>
    <t>E-mail</t>
  </si>
  <si>
    <t>exemplo@email.com</t>
  </si>
  <si>
    <t>Alteração cadastral desde a última declaração?</t>
  </si>
  <si>
    <t>Não</t>
  </si>
  <si>
    <t>Cônjuge como dependente?</t>
  </si>
  <si>
    <t>Residente no exterior?</t>
  </si>
  <si>
    <t>Contas e informes bancários</t>
  </si>
  <si>
    <t>Instituição financeira</t>
  </si>
  <si>
    <t>Tipo de conta</t>
  </si>
  <si>
    <t>Titular</t>
  </si>
  <si>
    <t>Saldo em 31/12</t>
  </si>
  <si>
    <t>Informe recebido?</t>
  </si>
  <si>
    <t>Arquivo ou localização</t>
  </si>
  <si>
    <t>Validação</t>
  </si>
  <si>
    <t>1 - Banco do Brasil</t>
  </si>
  <si>
    <t>Conta corrente</t>
  </si>
  <si>
    <t>Sim</t>
  </si>
  <si>
    <t>informe_bb.pdf</t>
  </si>
  <si>
    <t>260 - Nubank</t>
  </si>
  <si>
    <t>Conta de pagamento</t>
  </si>
  <si>
    <t>informe_nubank.pdf</t>
  </si>
  <si>
    <t>77 - Banco Inter</t>
  </si>
  <si>
    <t>Pendente</t>
  </si>
  <si>
    <t>Rendimentos recebidos</t>
  </si>
  <si>
    <t>Data</t>
  </si>
  <si>
    <t>Categoria</t>
  </si>
  <si>
    <t>Fonte pagadora</t>
  </si>
  <si>
    <t>CPF ou CNPJ</t>
  </si>
  <si>
    <t>Rendimento bruto</t>
  </si>
  <si>
    <t>IR retido</t>
  </si>
  <si>
    <t>Comprovante</t>
  </si>
  <si>
    <t>Salário</t>
  </si>
  <si>
    <t>Empresa Exemplo Ltda.</t>
  </si>
  <si>
    <t>00.000.000/0000-00</t>
  </si>
  <si>
    <t>holerite_jan.pdf</t>
  </si>
  <si>
    <t>holerite_fev.pdf</t>
  </si>
  <si>
    <t>Dividendos</t>
  </si>
  <si>
    <t>Empresa Fictícia S.A.</t>
  </si>
  <si>
    <t>informe_dividendos.pdf</t>
  </si>
  <si>
    <t>Tipo</t>
  </si>
  <si>
    <t>Descrição</t>
  </si>
  <si>
    <t>Data de aquisição</t>
  </si>
  <si>
    <t>Valor anterior</t>
  </si>
  <si>
    <t>Valor atual</t>
  </si>
  <si>
    <t>Declarar?</t>
  </si>
  <si>
    <t>Documento</t>
  </si>
  <si>
    <t>Veículo</t>
  </si>
  <si>
    <t>Veículo fictício</t>
  </si>
  <si>
    <t>documento_veiculo.pdf</t>
  </si>
  <si>
    <t>Investimento</t>
  </si>
  <si>
    <t>Cotas de fundo fictício</t>
  </si>
  <si>
    <t>informe_investimento.pdf</t>
  </si>
  <si>
    <t>Pagamentos e possíveis deduções</t>
  </si>
  <si>
    <t>Beneficiário</t>
  </si>
  <si>
    <t>Valor pago</t>
  </si>
  <si>
    <t>Dedutível?</t>
  </si>
  <si>
    <t>Saúde</t>
  </si>
  <si>
    <t>Clínica Exemplo</t>
  </si>
  <si>
    <t>recibo_clinica.pdf</t>
  </si>
  <si>
    <t>Educação</t>
  </si>
  <si>
    <t>Instituição Exemplo</t>
  </si>
  <si>
    <t>mensalidade_mar.pdf</t>
  </si>
  <si>
    <t>Doação</t>
  </si>
  <si>
    <t>Projeto Fictício</t>
  </si>
  <si>
    <t>Verificar</t>
  </si>
  <si>
    <t>recibo_doacao.pdf</t>
  </si>
  <si>
    <t>Controle de documentos</t>
  </si>
  <si>
    <t>Observação</t>
  </si>
  <si>
    <t>Documento de identificação</t>
  </si>
  <si>
    <t>Recebido</t>
  </si>
  <si>
    <t>documentos/identificacao.pdf</t>
  </si>
  <si>
    <t>Exemplo fictício</t>
  </si>
  <si>
    <t>Bancos</t>
  </si>
  <si>
    <t>Informe Banco do Brasil</t>
  </si>
  <si>
    <t>informes/informe_bb.pdf</t>
  </si>
  <si>
    <t>Informe Banco Inter</t>
  </si>
  <si>
    <t>Solicitar ao banco</t>
  </si>
  <si>
    <t>Informe da fonte pagadora</t>
  </si>
  <si>
    <t>rendimentos/informe_empresa.pdf</t>
  </si>
  <si>
    <t>Pagamentos</t>
  </si>
  <si>
    <t>Recibo de saúde</t>
  </si>
  <si>
    <t>Conferir CPF ou CNPJ</t>
  </si>
  <si>
    <t>Tipos de conta</t>
  </si>
  <si>
    <t>Bens</t>
  </si>
  <si>
    <t>Fonte</t>
  </si>
  <si>
    <t>Apoio às listas suspensas e às validações do arquivo</t>
  </si>
  <si>
    <t>Imóvel</t>
  </si>
  <si>
    <t>bancos_apoio.xlsx</t>
  </si>
  <si>
    <t>Lista de bancos disponibilizada no desafio DIO</t>
  </si>
  <si>
    <t>102 - XP Investimentos CCTVM S.A.</t>
  </si>
  <si>
    <t>Conta poupança</t>
  </si>
  <si>
    <t>Pró-labore</t>
  </si>
  <si>
    <t>projeto_completo.xlsx</t>
  </si>
  <si>
    <t>Modelo resolvido disponibilizado no desafio DIO</t>
  </si>
  <si>
    <t>104 - Caixa Econômica Federal</t>
  </si>
  <si>
    <t>Listas de apoio e fontes</t>
  </si>
  <si>
    <t>Aposentadoria</t>
  </si>
  <si>
    <t>Previdência</t>
  </si>
  <si>
    <t>Uso</t>
  </si>
  <si>
    <t>Dados fictícios para demonstração; substitua apenas em cópia local</t>
  </si>
  <si>
    <t>119 - Banco Western Union do Brasil</t>
  </si>
  <si>
    <t>Conta investimento</t>
  </si>
  <si>
    <t>Aluguel</t>
  </si>
  <si>
    <t>Conta bancária</t>
  </si>
  <si>
    <t>Pensão alimentícia</t>
  </si>
  <si>
    <t>Privacidade</t>
  </si>
  <si>
    <t>Não publique informações reais no GitHub</t>
  </si>
  <si>
    <t>184 - Banco Itaú BBA S.A.</t>
  </si>
  <si>
    <t>Corretora</t>
  </si>
  <si>
    <t>Autônomo</t>
  </si>
  <si>
    <t>Participação societária</t>
  </si>
  <si>
    <t>197 - Stone Pagamentos</t>
  </si>
  <si>
    <t>Outro</t>
  </si>
  <si>
    <t>Criptoativo</t>
  </si>
  <si>
    <t>208 - Banco BTG Pactual</t>
  </si>
  <si>
    <t>Rendimentos bancários</t>
  </si>
  <si>
    <t>Crédito a receber</t>
  </si>
  <si>
    <t>Serviços profissionais</t>
  </si>
  <si>
    <t>212 - Banco Original</t>
  </si>
  <si>
    <t>Outros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</si>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</sst>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[Red]\(&quot;R$&quot;\ #,##0.00\);\-"/>
  </numFmts>
  <fonts count="15">
    <font>
      <sz val="11"/>
      <name val="Carlito"/>
    </font>
    <font>
      <b/>
      <sz val="10"/>
      <color rgb="FFFFFFFF"/>
      <name val="Arial"/>
    </font>
    <font>
      <b/>
      <sz val="15"/>
      <color rgb="FF162A43"/>
      <name val="Arial"/>
    </font>
    <font>
      <i/>
      <sz val="10"/>
      <color rgb="FF5B6570"/>
      <name val="Arial"/>
    </font>
    <font>
      <sz val="11"/>
      <name val="Arial"/>
    </font>
    <font>
      <b/>
      <sz val="11"/>
      <color rgb="FF0070C0"/>
      <name val="Arial"/>
    </font>
    <font>
      <b/>
      <sz val="11"/>
      <color rgb="FFFFFFFF"/>
      <name val="Arial"/>
    </font>
    <font>
      <b/>
      <sz val="14"/>
      <color rgb="FF162A43"/>
      <name val="Arial"/>
    </font>
    <font>
      <b/>
      <sz val="11"/>
      <color rgb="FF162A43"/>
      <name val="Arial"/>
    </font>
    <font>
      <sz val="11"/>
      <color rgb="FF27313A"/>
      <name val="Arial"/>
    </font>
    <font>
      <b/>
      <sz val="11"/>
      <color rgb="FF176B55"/>
      <name val="Arial"/>
    </font>
    <font>
      <sz val="11"/>
      <color rgb="FF0070C0"/>
      <name val="Arial"/>
    </font>
    <font>
      <i/>
      <sz val="11"/>
      <color rgb="FF27313A"/>
      <name val="Arial"/>
    </font>
    <font>
      <b/>
      <sz val="15"/>
      <color rgb="FF27313A"/>
      <name val="Arial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2A43"/>
      </patternFill>
    </fill>
    <fill>
      <patternFill patternType="solid">
        <fgColor rgb="FF176B55"/>
      </patternFill>
    </fill>
    <fill>
      <patternFill patternType="solid">
        <fgColor rgb="FFFFF2CC"/>
      </patternFill>
    </fill>
    <fill>
      <patternFill patternType="solid">
        <fgColor rgb="FFF3F5F7"/>
      </patternFill>
    </fill>
    <fill>
      <patternFill patternType="solid">
        <fgColor rgb="FFDDEBE5"/>
      </patternFill>
    </fill>
    <fill>
      <patternFill patternType="solid">
        <fgColor rgb="FFE8F3EF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162A43"/>
      </bottom>
      <diagonal/>
    </border>
    <border>
      <left style="thin">
        <color rgb="FFD6A84B"/>
      </left>
      <right/>
      <top style="thin">
        <color rgb="FFD6A84B"/>
      </top>
      <bottom style="thin">
        <color rgb="FFD6A84B"/>
      </bottom>
      <diagonal/>
    </border>
    <border>
      <left/>
      <right style="thin">
        <color rgb="FFD6A84B"/>
      </right>
      <top style="thin">
        <color rgb="FFD6A84B"/>
      </top>
      <bottom style="thin">
        <color rgb="FFD6A84B"/>
      </bottom>
      <diagonal/>
    </border>
    <border>
      <left style="thin">
        <color rgb="FFD9E0E5"/>
      </left>
      <right/>
      <top style="thin">
        <color rgb="FFD9E0E5"/>
      </top>
      <bottom/>
      <diagonal/>
    </border>
    <border>
      <left/>
      <right style="thin">
        <color rgb="FFD9E0E5"/>
      </right>
      <top style="thin">
        <color rgb="FFD9E0E5"/>
      </top>
      <bottom/>
      <diagonal/>
    </border>
    <border>
      <left style="thin">
        <color rgb="FFD9E0E5"/>
      </left>
      <right/>
      <top/>
      <bottom style="thin">
        <color rgb="FFD9E0E5"/>
      </bottom>
      <diagonal/>
    </border>
    <border>
      <left/>
      <right style="thin">
        <color rgb="FFD9E0E5"/>
      </right>
      <top/>
      <bottom style="thin">
        <color rgb="FFD9E0E5"/>
      </bottom>
      <diagonal/>
    </border>
    <border>
      <left/>
      <right/>
      <top/>
      <bottom style="thin">
        <color rgb="FFD9E0E5"/>
      </bottom>
      <diagonal/>
    </border>
    <border>
      <left/>
      <right/>
      <top style="thin">
        <color rgb="FFD9E0E5"/>
      </top>
      <bottom style="thin">
        <color rgb="FFD9E0E5"/>
      </bottom>
      <diagonal/>
    </border>
    <border>
      <left/>
      <right/>
      <top style="thin">
        <color rgb="FFD9E0E5"/>
      </top>
      <bottom/>
      <diagonal/>
    </border>
    <border>
      <left style="thin">
        <color rgb="FFD9E0E5"/>
      </left>
      <right/>
      <top/>
      <bottom/>
      <diagonal/>
    </border>
    <border>
      <left/>
      <right style="thin">
        <color rgb="FFD9E0E5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0" fillId="7" borderId="14" xfId="0" applyNumberFormat="1" applyFont="1" applyFill="1" applyBorder="1" applyAlignment="1">
      <alignment horizontal="center" vertical="center"/>
    </xf>
    <xf numFmtId="0" fontId="10" fillId="7" borderId="0" xfId="0" applyNumberFormat="1" applyFont="1" applyFill="1" applyBorder="1" applyAlignment="1">
      <alignment horizontal="center" vertical="center"/>
    </xf>
    <xf numFmtId="0" fontId="10" fillId="7" borderId="15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1" fillId="4" borderId="11" xfId="0" applyNumberFormat="1" applyFont="1" applyFill="1" applyBorder="1" applyAlignment="1">
      <alignment vertical="center"/>
    </xf>
    <xf numFmtId="0" fontId="11" fillId="4" borderId="12" xfId="0" applyNumberFormat="1" applyFont="1" applyFill="1" applyBorder="1" applyAlignment="1">
      <alignment vertical="center"/>
    </xf>
    <xf numFmtId="0" fontId="11" fillId="4" borderId="13" xfId="0" applyNumberFormat="1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164" fontId="11" fillId="4" borderId="11" xfId="0" applyNumberFormat="1" applyFont="1" applyFill="1" applyBorder="1" applyAlignment="1">
      <alignment vertical="center"/>
    </xf>
    <xf numFmtId="164" fontId="11" fillId="4" borderId="12" xfId="0" applyNumberFormat="1" applyFont="1" applyFill="1" applyBorder="1" applyAlignment="1">
      <alignment vertical="center"/>
    </xf>
    <xf numFmtId="164" fontId="11" fillId="4" borderId="13" xfId="0" applyNumberFormat="1" applyFont="1" applyFill="1" applyBorder="1" applyAlignment="1">
      <alignment vertical="center"/>
    </xf>
    <xf numFmtId="14" fontId="11" fillId="4" borderId="11" xfId="0" applyNumberFormat="1" applyFont="1" applyFill="1" applyBorder="1" applyAlignment="1">
      <alignment vertical="center"/>
    </xf>
    <xf numFmtId="14" fontId="11" fillId="4" borderId="12" xfId="0" applyNumberFormat="1" applyFont="1" applyFill="1" applyBorder="1" applyAlignment="1">
      <alignment vertical="center"/>
    </xf>
    <xf numFmtId="14" fontId="11" fillId="4" borderId="13" xfId="0" applyNumberFormat="1" applyFont="1" applyFill="1" applyBorder="1" applyAlignment="1">
      <alignment vertical="center"/>
    </xf>
    <xf numFmtId="0" fontId="1" fillId="3" borderId="3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5" fillId="4" borderId="5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0" fontId="8" fillId="6" borderId="0" xfId="0" applyNumberFormat="1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vertical="center"/>
    </xf>
    <xf numFmtId="0" fontId="9" fillId="5" borderId="12" xfId="0" applyNumberFormat="1" applyFont="1" applyFill="1" applyBorder="1" applyAlignment="1">
      <alignment vertical="center"/>
    </xf>
    <xf numFmtId="0" fontId="9" fillId="5" borderId="13" xfId="0" applyNumberFormat="1" applyFont="1" applyFill="1" applyBorder="1" applyAlignment="1">
      <alignment vertical="center"/>
    </xf>
    <xf numFmtId="0" fontId="8" fillId="5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vertical="center"/>
    </xf>
    <xf numFmtId="0" fontId="6" fillId="3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164" fontId="7" fillId="5" borderId="8" xfId="0" applyNumberFormat="1" applyFont="1" applyFill="1" applyBorder="1" applyAlignment="1">
      <alignment horizontal="center" vertical="center"/>
    </xf>
    <xf numFmtId="164" fontId="7" fillId="5" borderId="9" xfId="0" applyNumberFormat="1" applyFont="1" applyFill="1" applyBorder="1" applyAlignment="1">
      <alignment horizontal="center" vertical="center"/>
    </xf>
    <xf numFmtId="164" fontId="7" fillId="5" borderId="10" xfId="0" applyNumberFormat="1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/>
    </xf>
    <xf numFmtId="1" fontId="7" fillId="5" borderId="8" xfId="0" applyNumberFormat="1" applyFont="1" applyFill="1" applyBorder="1" applyAlignment="1">
      <alignment horizontal="center" vertical="center"/>
    </xf>
    <xf numFmtId="1" fontId="7" fillId="5" borderId="9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center" vertical="center"/>
    </xf>
    <xf numFmtId="0" fontId="10" fillId="7" borderId="7" xfId="0" applyNumberFormat="1" applyFont="1" applyFill="1" applyBorder="1" applyAlignment="1">
      <alignment horizontal="center" vertical="center"/>
    </xf>
    <xf numFmtId="0" fontId="10" fillId="7" borderId="13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horizontal="center" vertical="center"/>
    </xf>
    <xf numFmtId="0" fontId="10" fillId="7" borderId="9" xfId="0" applyNumberFormat="1" applyFont="1" applyFill="1" applyBorder="1" applyAlignment="1">
      <alignment horizontal="center" vertical="center"/>
    </xf>
    <xf numFmtId="0" fontId="10" fillId="7" borderId="11" xfId="0" applyNumberFormat="1" applyFont="1" applyFill="1" applyBorder="1" applyAlignment="1">
      <alignment horizontal="center" vertical="center"/>
    </xf>
    <xf numFmtId="0" fontId="10" fillId="7" borderId="10" xfId="0" applyNumberFormat="1" applyFont="1" applyFill="1" applyBorder="1" applyAlignment="1">
      <alignment horizontal="center" vertical="center"/>
    </xf>
    <xf numFmtId="0" fontId="8" fillId="5" borderId="11" xfId="0" applyNumberFormat="1" applyFont="1" applyFill="1" applyBorder="1" applyAlignment="1">
      <alignment vertical="center"/>
    </xf>
    <xf numFmtId="0" fontId="8" fillId="5" borderId="12" xfId="0" applyNumberFormat="1" applyFont="1" applyFill="1" applyBorder="1" applyAlignment="1">
      <alignment vertical="center"/>
    </xf>
    <xf numFmtId="0" fontId="8" fillId="5" borderId="13" xfId="0" applyNumberFormat="1" applyFont="1" applyFill="1" applyBorder="1" applyAlignment="1">
      <alignment vertical="center"/>
    </xf>
    <xf numFmtId="0" fontId="11" fillId="4" borderId="11" xfId="0" applyNumberFormat="1" applyFont="1" applyFill="1" applyBorder="1" applyAlignment="1">
      <alignment vertical="center"/>
    </xf>
    <xf numFmtId="0" fontId="11" fillId="4" borderId="12" xfId="0" applyNumberFormat="1" applyFont="1" applyFill="1" applyBorder="1" applyAlignment="1">
      <alignment vertical="center"/>
    </xf>
    <xf numFmtId="14" fontId="11" fillId="4" borderId="12" xfId="0" applyNumberFormat="1" applyFont="1" applyFill="1" applyBorder="1" applyAlignment="1">
      <alignment vertical="center"/>
    </xf>
    <xf numFmtId="0" fontId="11" fillId="4" borderId="13" xfId="0" applyNumberFormat="1" applyFont="1" applyFill="1" applyBorder="1" applyAlignment="1">
      <alignment vertical="center"/>
    </xf>
    <xf numFmtId="0" fontId="12" fillId="5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vertical="center"/>
    </xf>
    <xf numFmtId="0" fontId="14" fillId="2" borderId="2" xfId="1" applyNumberFormat="1" applyFill="1" applyBorder="1" applyAlignment="1">
      <alignment horizontal="center" vertical="center"/>
    </xf>
    <xf numFmtId="0" fontId="14" fillId="2" borderId="3" xfId="1" applyNumberFormat="1" applyFill="1" applyBorder="1" applyAlignment="1">
      <alignment horizontal="center" vertical="center"/>
    </xf>
    <xf numFmtId="0" fontId="14" fillId="2" borderId="1" xfId="1" applyNumberFormat="1" applyFill="1" applyBorder="1" applyAlignment="1">
      <alignment horizontal="center" vertical="center"/>
    </xf>
    <xf numFmtId="0" fontId="14" fillId="3" borderId="2" xfId="1" applyNumberForma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20">
    <dxf>
      <font>
        <b/>
        <color rgb="FF176B55"/>
      </font>
      <fill>
        <patternFill patternType="solid">
          <bgColor rgb="FFE8F3EF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176B55"/>
      </font>
      <fill>
        <patternFill patternType="solid">
          <bgColor rgb="FFE8F3EF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176B55"/>
      </font>
      <fill>
        <patternFill patternType="solid">
          <bgColor rgb="FFE8F3EF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176B55"/>
      </font>
      <fill>
        <patternFill patternType="solid">
          <bgColor rgb="FFE8F3EF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176B55"/>
      </font>
      <fill>
        <patternFill patternType="solid">
          <bgColor rgb="FFE8F3EF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176B55"/>
      </font>
      <fill>
        <patternFill patternType="solid">
          <bgColor rgb="FFE8F3EF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176B55"/>
      </font>
      <fill>
        <patternFill patternType="solid">
          <bgColor rgb="FFE8F3EF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A61B1B"/>
      </font>
      <fill>
        <patternFill patternType="solid">
          <bgColor rgb="FFFDE9E7"/>
        </patternFill>
      </fill>
    </dxf>
    <dxf>
      <font>
        <b/>
        <color rgb="FFA61B1B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2A43"/>
  </sheetPr>
  <dimension ref="B1:O25"/>
  <sheetViews>
    <sheetView showGridLines="0" tabSelected="1" workbookViewId="0">
      <selection activeCell="C6" sqref="C6"/>
    </sheetView>
  </sheetViews>
  <sheetFormatPr defaultRowHeight="13.8"/>
  <cols>
    <col min="2" max="2" width="18" customWidth="1"/>
    <col min="3" max="3" width="13" customWidth="1"/>
    <col min="4" max="4" width="12" customWidth="1"/>
    <col min="5" max="5" width="17" customWidth="1"/>
    <col min="6" max="6" width="13" customWidth="1"/>
    <col min="7" max="7" width="12" customWidth="1"/>
    <col min="8" max="8" width="19" customWidth="1"/>
    <col min="9" max="9" width="13" customWidth="1"/>
    <col min="10" max="10" width="3" customWidth="1"/>
    <col min="11" max="11" width="19" customWidth="1"/>
    <col min="12" max="12" width="13" customWidth="1"/>
    <col min="13" max="13" width="3" customWidth="1"/>
    <col min="14" max="14" width="18" customWidth="1"/>
    <col min="15" max="15" width="13" customWidth="1"/>
  </cols>
  <sheetData>
    <row r="1" spans="2:15">
      <c r="B1" s="22"/>
      <c r="C1" s="22"/>
      <c r="D1" s="22"/>
      <c r="E1" s="22"/>
      <c r="F1" s="22"/>
      <c r="G1" s="22"/>
      <c r="H1" s="22"/>
      <c r="I1" s="23"/>
      <c r="J1" s="23"/>
      <c r="K1" s="23"/>
      <c r="L1" s="23"/>
      <c r="M1" s="23"/>
      <c r="N1" s="23"/>
      <c r="O1" s="23"/>
    </row>
    <row r="2" spans="2:15" ht="25.05" customHeight="1">
      <c r="B2" s="4" t="str">
        <f>HYPERLINK("#'Resumo'!B2","Resumo")</f>
        <v>Resumo</v>
      </c>
      <c r="C2" s="63" t="str">
        <f>HYPERLINK("#'Titular'!B2","Titular")</f>
        <v>Titular</v>
      </c>
      <c r="D2" s="63" t="str">
        <f>HYPERLINK("#'Bancos'!B2","Bancos")</f>
        <v>Bancos</v>
      </c>
      <c r="E2" s="63" t="str">
        <f>HYPERLINK("#'Rendimentos'!B2","Rendimentos")</f>
        <v>Rendimentos</v>
      </c>
      <c r="F2" s="63" t="str">
        <f>HYPERLINK("#'Bens'!B2","Bens")</f>
        <v>Bens</v>
      </c>
      <c r="G2" s="63" t="str">
        <f>HYPERLINK("#'Pagamentos'!B2","Pagamentos")</f>
        <v>Pagamentos</v>
      </c>
      <c r="H2" s="64" t="str">
        <f>HYPERLINK("#'Documentos'!B2","Documentos")</f>
        <v>Documentos</v>
      </c>
      <c r="I2" s="23"/>
      <c r="J2" s="23"/>
      <c r="K2" s="23"/>
      <c r="L2" s="23"/>
      <c r="M2" s="23"/>
      <c r="N2" s="23"/>
      <c r="O2" s="23"/>
    </row>
    <row r="3" spans="2:1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2:15" ht="19.2">
      <c r="B4" s="36" t="s">
        <v>0</v>
      </c>
      <c r="C4" s="36"/>
      <c r="D4" s="36"/>
      <c r="E4" s="36"/>
      <c r="F4" s="36"/>
      <c r="G4" s="36"/>
      <c r="H4" s="36"/>
      <c r="I4" s="23"/>
      <c r="J4" s="23"/>
      <c r="K4" s="23"/>
      <c r="L4" s="23"/>
      <c r="M4" s="23"/>
      <c r="N4" s="23"/>
      <c r="O4" s="23"/>
    </row>
    <row r="5" spans="2:15">
      <c r="B5" s="37"/>
      <c r="C5" s="37"/>
      <c r="D5" s="37"/>
      <c r="E5" s="37"/>
      <c r="F5" s="37"/>
      <c r="G5" s="37"/>
      <c r="H5" s="37"/>
      <c r="I5" s="23"/>
      <c r="J5" s="23"/>
      <c r="K5" s="23"/>
      <c r="L5" s="23"/>
      <c r="M5" s="23"/>
      <c r="N5" s="23"/>
      <c r="O5" s="23"/>
    </row>
    <row r="6" spans="2:15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2:15">
      <c r="B7" s="24" t="s">
        <v>1</v>
      </c>
      <c r="C7" s="25">
        <v>2025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2:1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2:15">
      <c r="B9" s="38" t="s">
        <v>2</v>
      </c>
      <c r="C9" s="38"/>
      <c r="D9" s="23"/>
      <c r="E9" s="38" t="s">
        <v>3</v>
      </c>
      <c r="F9" s="38"/>
      <c r="G9" s="23"/>
      <c r="H9" s="38" t="s">
        <v>4</v>
      </c>
      <c r="I9" s="38"/>
      <c r="J9" s="23"/>
      <c r="K9" s="38" t="s">
        <v>5</v>
      </c>
      <c r="L9" s="38"/>
      <c r="M9" s="23"/>
      <c r="N9" s="38" t="s">
        <v>6</v>
      </c>
      <c r="O9" s="38"/>
    </row>
    <row r="10" spans="2:15">
      <c r="B10" s="39">
        <f>SUM(Bancos!E7:E26)</f>
        <v>23500</v>
      </c>
      <c r="C10" s="40"/>
      <c r="D10" s="26"/>
      <c r="E10" s="39">
        <f>SUM(Rendimentos!F7:F26)</f>
        <v>13450</v>
      </c>
      <c r="F10" s="40"/>
      <c r="G10" s="26"/>
      <c r="H10" s="39">
        <f>SUM(Bens!F7:F26)</f>
        <v>39200</v>
      </c>
      <c r="I10" s="40"/>
      <c r="J10" s="26"/>
      <c r="K10" s="39">
        <f>SUMIFS(Pagamentos!F7:F26,Pagamentos!G7:G26,"Sim")</f>
        <v>2250</v>
      </c>
      <c r="L10" s="40"/>
      <c r="M10" s="23"/>
      <c r="N10" s="43">
        <f>COUNTIFS(Documentos!D7:D26,"Pendente")</f>
        <v>2</v>
      </c>
      <c r="O10" s="44"/>
    </row>
    <row r="11" spans="2:15">
      <c r="B11" s="41"/>
      <c r="C11" s="42"/>
      <c r="D11" s="26"/>
      <c r="E11" s="41"/>
      <c r="F11" s="42"/>
      <c r="G11" s="26"/>
      <c r="H11" s="41"/>
      <c r="I11" s="42"/>
      <c r="J11" s="26"/>
      <c r="K11" s="41"/>
      <c r="L11" s="42"/>
      <c r="M11" s="23"/>
      <c r="N11" s="45"/>
      <c r="O11" s="46"/>
    </row>
    <row r="12" spans="2:15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2:15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2:15">
      <c r="B14" s="47" t="s">
        <v>7</v>
      </c>
      <c r="C14" s="47"/>
      <c r="D14" s="47"/>
      <c r="E14" s="47"/>
      <c r="F14" s="47"/>
      <c r="G14" s="23"/>
      <c r="H14" s="47" t="s">
        <v>8</v>
      </c>
      <c r="I14" s="47"/>
      <c r="J14" s="47"/>
      <c r="K14" s="47"/>
      <c r="L14" s="47"/>
      <c r="M14" s="47"/>
      <c r="N14" s="47"/>
      <c r="O14" s="47"/>
    </row>
    <row r="15" spans="2:15">
      <c r="B15" s="27" t="s">
        <v>9</v>
      </c>
      <c r="C15" s="27"/>
      <c r="D15" s="27"/>
      <c r="E15" s="27" t="s">
        <v>10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2:15">
      <c r="B16" s="28" t="s">
        <v>11</v>
      </c>
      <c r="C16" s="28"/>
      <c r="D16" s="28"/>
      <c r="E16" s="28" t="str">
        <f>IF(Titular!D7="","Pendente","Concluído")</f>
        <v>Concluído</v>
      </c>
      <c r="F16" s="23"/>
      <c r="G16" s="23"/>
      <c r="H16" s="48" t="str">
        <f>HYPERLINK("https://www.gov.br/receitafederal/pt-br/assuntos/meu-imposto-de-renda","Meu Imposto de Renda - Receita Federal")</f>
        <v>Meu Imposto de Renda - Receita Federal</v>
      </c>
      <c r="I16" s="49"/>
      <c r="J16" s="49"/>
      <c r="K16" s="49"/>
      <c r="L16" s="50"/>
      <c r="M16" s="23"/>
      <c r="N16" s="23"/>
      <c r="O16" s="23"/>
    </row>
    <row r="17" spans="2:15">
      <c r="B17" s="29" t="s">
        <v>12</v>
      </c>
      <c r="C17" s="29"/>
      <c r="D17" s="29"/>
      <c r="E17" s="29" t="str">
        <f>IF(COUNTA(Bancos!B7:B26)=0,"Pendente",IF(COUNTIFS(Bancos!H7:H26,"Revisar")&gt;0,"Revisar","Concluído"))</f>
        <v>Concluído</v>
      </c>
      <c r="F17" s="23"/>
      <c r="G17" s="23"/>
      <c r="H17" s="5"/>
      <c r="I17" s="6"/>
      <c r="J17" s="6"/>
      <c r="K17" s="6"/>
      <c r="L17" s="7"/>
      <c r="M17" s="23"/>
      <c r="N17" s="23"/>
      <c r="O17" s="23"/>
    </row>
    <row r="18" spans="2:15">
      <c r="B18" s="29" t="s">
        <v>13</v>
      </c>
      <c r="C18" s="29"/>
      <c r="D18" s="29"/>
      <c r="E18" s="29" t="str">
        <f>IF(COUNTA(Rendimentos!B7:B26)=0,"Pendente",IF(COUNTIFS(Rendimentos!I7:I26,"Revisar")&gt;0,"Revisar","Concluído"))</f>
        <v>Concluído</v>
      </c>
      <c r="F18" s="23"/>
      <c r="G18" s="23"/>
      <c r="H18" s="51" t="str">
        <f>HYPERLINK("https://cav.receita.fazenda.gov.br/","Portal e-CAC")</f>
        <v>Portal e-CAC</v>
      </c>
      <c r="I18" s="52"/>
      <c r="J18" s="52"/>
      <c r="K18" s="52"/>
      <c r="L18" s="53"/>
      <c r="M18" s="23"/>
      <c r="N18" s="23"/>
      <c r="O18" s="23"/>
    </row>
    <row r="19" spans="2:15">
      <c r="B19" s="30" t="s">
        <v>14</v>
      </c>
      <c r="C19" s="30"/>
      <c r="D19" s="30"/>
      <c r="E19" s="30" t="str">
        <f>IF(COUNTIFS(Documentos!G7:G26,"Revisar")&gt;0,"Revisar",IF(N10=0,"Concluído","Pendente"))</f>
        <v>Pendente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2:1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2:15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2:15" ht="13.8" customHeight="1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2:15" ht="13.8" customHeight="1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2:15" ht="13.8" customHeight="1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2:15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</sheetData>
  <mergeCells count="16">
    <mergeCell ref="H16:L16"/>
    <mergeCell ref="H18:L18"/>
    <mergeCell ref="K9:L9"/>
    <mergeCell ref="K10:L11"/>
    <mergeCell ref="N9:O9"/>
    <mergeCell ref="N10:O11"/>
    <mergeCell ref="B14:F14"/>
    <mergeCell ref="H14:O14"/>
    <mergeCell ref="B4:H4"/>
    <mergeCell ref="B5:H5"/>
    <mergeCell ref="B9:C9"/>
    <mergeCell ref="B10:C11"/>
    <mergeCell ref="E9:F9"/>
    <mergeCell ref="E10:F11"/>
    <mergeCell ref="H9:I9"/>
    <mergeCell ref="H10:I11"/>
  </mergeCells>
  <conditionalFormatting sqref="C7">
    <cfRule type="cellIs" dxfId="19" priority="1" operator="lessThan">
      <formula>2000</formula>
    </cfRule>
    <cfRule type="cellIs" dxfId="18" priority="2" operator="greaterThan">
      <formula>2100</formula>
    </cfRule>
  </conditionalFormatting>
  <conditionalFormatting sqref="E16:E19">
    <cfRule type="containsText" dxfId="17" priority="3" operator="containsText" text="Pendente"/>
    <cfRule type="containsText" dxfId="16" priority="4" operator="containsText" text="Concluído"/>
    <cfRule type="containsText" dxfId="15" priority="5" operator="containsText" text="Revisar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6B55"/>
  </sheetPr>
  <dimension ref="B1:H18"/>
  <sheetViews>
    <sheetView showGridLines="0" workbookViewId="0">
      <selection activeCell="B2" sqref="B2"/>
    </sheetView>
  </sheetViews>
  <sheetFormatPr defaultRowHeight="13.8"/>
  <cols>
    <col min="2" max="2" width="34" customWidth="1"/>
    <col min="3" max="3" width="12" customWidth="1"/>
    <col min="4" max="8" width="16" customWidth="1"/>
  </cols>
  <sheetData>
    <row r="1" spans="2:8">
      <c r="B1" s="22"/>
      <c r="C1" s="22"/>
      <c r="D1" s="22"/>
      <c r="E1" s="22"/>
      <c r="F1" s="22"/>
      <c r="G1" s="22"/>
      <c r="H1" s="22"/>
    </row>
    <row r="2" spans="2:8" ht="25.05" customHeight="1">
      <c r="B2" s="1" t="str">
        <f>HYPERLINK("#'Resumo'!B2","Resumo")</f>
        <v>Resumo</v>
      </c>
      <c r="C2" s="8" t="str">
        <f>HYPERLINK("#'Titular'!B2","Titular")</f>
        <v>Titular</v>
      </c>
      <c r="D2" s="2" t="str">
        <f>HYPERLINK("#'Bancos'!B2","Bancos")</f>
        <v>Bancos</v>
      </c>
      <c r="E2" s="2" t="str">
        <f>HYPERLINK("#'Rendimentos'!B2","Rendimentos")</f>
        <v>Rendimentos</v>
      </c>
      <c r="F2" s="2" t="str">
        <f>HYPERLINK("#'Bens'!B2","Bens")</f>
        <v>Bens</v>
      </c>
      <c r="G2" s="2" t="str">
        <f>HYPERLINK("#'Pagamentos'!B2","Pagamentos")</f>
        <v>Pagamentos</v>
      </c>
      <c r="H2" s="3" t="str">
        <f>HYPERLINK("#'Documentos'!B2","Documentos")</f>
        <v>Documentos</v>
      </c>
    </row>
    <row r="3" spans="2:8">
      <c r="B3" s="23"/>
      <c r="C3" s="23"/>
      <c r="D3" s="23"/>
      <c r="E3" s="23"/>
      <c r="F3" s="23"/>
      <c r="G3" s="23"/>
      <c r="H3" s="23"/>
    </row>
    <row r="4" spans="2:8" ht="19.2">
      <c r="B4" s="36" t="s">
        <v>11</v>
      </c>
      <c r="C4" s="36"/>
      <c r="D4" s="36"/>
      <c r="E4" s="36"/>
      <c r="F4" s="36"/>
      <c r="G4" s="36"/>
      <c r="H4" s="36"/>
    </row>
    <row r="5" spans="2:8">
      <c r="B5" s="37"/>
      <c r="C5" s="37"/>
      <c r="D5" s="37"/>
      <c r="E5" s="37"/>
      <c r="F5" s="37"/>
      <c r="G5" s="37"/>
      <c r="H5" s="37"/>
    </row>
    <row r="6" spans="2:8">
      <c r="B6" s="23"/>
      <c r="C6" s="23"/>
      <c r="D6" s="23"/>
      <c r="E6" s="23"/>
      <c r="F6" s="23"/>
      <c r="G6" s="23"/>
      <c r="H6" s="23"/>
    </row>
    <row r="7" spans="2:8">
      <c r="B7" s="54" t="s">
        <v>15</v>
      </c>
      <c r="C7" s="54"/>
      <c r="D7" s="57" t="s">
        <v>16</v>
      </c>
      <c r="E7" s="57"/>
      <c r="F7" s="57"/>
      <c r="G7" s="57"/>
      <c r="H7" s="57"/>
    </row>
    <row r="8" spans="2:8">
      <c r="B8" s="55" t="s">
        <v>17</v>
      </c>
      <c r="C8" s="55"/>
      <c r="D8" s="58" t="s">
        <v>18</v>
      </c>
      <c r="E8" s="58"/>
      <c r="F8" s="58"/>
      <c r="G8" s="58"/>
      <c r="H8" s="58"/>
    </row>
    <row r="9" spans="2:8">
      <c r="B9" s="55" t="s">
        <v>19</v>
      </c>
      <c r="C9" s="55"/>
      <c r="D9" s="59">
        <v>34700</v>
      </c>
      <c r="E9" s="58"/>
      <c r="F9" s="58"/>
      <c r="G9" s="58"/>
      <c r="H9" s="58"/>
    </row>
    <row r="10" spans="2:8">
      <c r="B10" s="55" t="s">
        <v>20</v>
      </c>
      <c r="C10" s="55"/>
      <c r="D10" s="58" t="s">
        <v>21</v>
      </c>
      <c r="E10" s="58"/>
      <c r="F10" s="58"/>
      <c r="G10" s="58"/>
      <c r="H10" s="58"/>
    </row>
    <row r="11" spans="2:8">
      <c r="B11" s="55" t="s">
        <v>22</v>
      </c>
      <c r="C11" s="55"/>
      <c r="D11" s="58"/>
      <c r="E11" s="58"/>
      <c r="F11" s="58"/>
      <c r="G11" s="58"/>
      <c r="H11" s="58"/>
    </row>
    <row r="12" spans="2:8">
      <c r="B12" s="55" t="s">
        <v>23</v>
      </c>
      <c r="C12" s="55"/>
      <c r="D12" s="58" t="s">
        <v>24</v>
      </c>
      <c r="E12" s="58"/>
      <c r="F12" s="58"/>
      <c r="G12" s="58"/>
      <c r="H12" s="58"/>
    </row>
    <row r="13" spans="2:8">
      <c r="B13" s="55" t="s">
        <v>25</v>
      </c>
      <c r="C13" s="55"/>
      <c r="D13" s="58" t="s">
        <v>26</v>
      </c>
      <c r="E13" s="58"/>
      <c r="F13" s="58"/>
      <c r="G13" s="58"/>
      <c r="H13" s="58"/>
    </row>
    <row r="14" spans="2:8">
      <c r="B14" s="55" t="s">
        <v>27</v>
      </c>
      <c r="C14" s="55"/>
      <c r="D14" s="58" t="s">
        <v>28</v>
      </c>
      <c r="E14" s="58"/>
      <c r="F14" s="58"/>
      <c r="G14" s="58"/>
      <c r="H14" s="58"/>
    </row>
    <row r="15" spans="2:8">
      <c r="B15" s="55" t="s">
        <v>29</v>
      </c>
      <c r="C15" s="55"/>
      <c r="D15" s="58" t="s">
        <v>30</v>
      </c>
      <c r="E15" s="58"/>
      <c r="F15" s="58"/>
      <c r="G15" s="58"/>
      <c r="H15" s="58"/>
    </row>
    <row r="16" spans="2:8">
      <c r="B16" s="55" t="s">
        <v>31</v>
      </c>
      <c r="C16" s="55"/>
      <c r="D16" s="58" t="s">
        <v>32</v>
      </c>
      <c r="E16" s="58"/>
      <c r="F16" s="58"/>
      <c r="G16" s="58"/>
      <c r="H16" s="58"/>
    </row>
    <row r="17" spans="2:8">
      <c r="B17" s="55" t="s">
        <v>33</v>
      </c>
      <c r="C17" s="55"/>
      <c r="D17" s="58" t="s">
        <v>32</v>
      </c>
      <c r="E17" s="58"/>
      <c r="F17" s="58"/>
      <c r="G17" s="58"/>
      <c r="H17" s="58"/>
    </row>
    <row r="18" spans="2:8">
      <c r="B18" s="56" t="s">
        <v>34</v>
      </c>
      <c r="C18" s="56"/>
      <c r="D18" s="60" t="s">
        <v>32</v>
      </c>
      <c r="E18" s="60"/>
      <c r="F18" s="60"/>
      <c r="G18" s="60"/>
      <c r="H18" s="60"/>
    </row>
  </sheetData>
  <mergeCells count="26">
    <mergeCell ref="B15:C15"/>
    <mergeCell ref="B16:C16"/>
    <mergeCell ref="B17:C17"/>
    <mergeCell ref="B18:C18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B10:C10"/>
    <mergeCell ref="B11:C11"/>
    <mergeCell ref="B12:C12"/>
    <mergeCell ref="B13:C13"/>
    <mergeCell ref="B14:C14"/>
    <mergeCell ref="B4:H4"/>
    <mergeCell ref="B5:H5"/>
    <mergeCell ref="B7:C7"/>
    <mergeCell ref="B8:C8"/>
    <mergeCell ref="B9:C9"/>
  </mergeCells>
  <conditionalFormatting sqref="D16:D18">
    <cfRule type="expression" dxfId="14" priority="1">
      <formula>AND(D16&lt;&gt;"Sim",D16&lt;&gt;"Não")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6B55"/>
  </sheetPr>
  <dimension ref="B1:H26"/>
  <sheetViews>
    <sheetView showGridLines="0" workbookViewId="0">
      <pane ySplit="6" topLeftCell="A7" activePane="bottomLeft" state="frozen"/>
      <selection pane="bottomLeft" activeCell="C2" sqref="C2"/>
    </sheetView>
  </sheetViews>
  <sheetFormatPr defaultRowHeight="13.8"/>
  <cols>
    <col min="2" max="2" width="33" customWidth="1"/>
    <col min="3" max="3" width="20" customWidth="1"/>
    <col min="4" max="4" width="14" customWidth="1"/>
    <col min="5" max="6" width="18" customWidth="1"/>
    <col min="7" max="7" width="28" customWidth="1"/>
    <col min="8" max="8" width="15" customWidth="1"/>
  </cols>
  <sheetData>
    <row r="1" spans="2:8">
      <c r="B1" s="22"/>
      <c r="C1" s="22"/>
      <c r="D1" s="22"/>
      <c r="E1" s="22"/>
      <c r="F1" s="22"/>
      <c r="G1" s="22"/>
      <c r="H1" s="22"/>
    </row>
    <row r="2" spans="2:8" ht="25.05" customHeight="1">
      <c r="B2" s="65" t="str">
        <f>HYPERLINK("#'Resumo'!B2","Resumo")</f>
        <v>Resumo</v>
      </c>
      <c r="C2" s="63" t="str">
        <f>HYPERLINK("#'Titular'!B2","Titular")</f>
        <v>Titular</v>
      </c>
      <c r="D2" s="66" t="str">
        <f>HYPERLINK("#'Bancos'!B2","Bancos")</f>
        <v>Bancos</v>
      </c>
      <c r="E2" s="63" t="str">
        <f>HYPERLINK("#'Rendimentos'!B2","Rendimentos")</f>
        <v>Rendimentos</v>
      </c>
      <c r="F2" s="63" t="str">
        <f>HYPERLINK("#'Bens'!B2","Bens")</f>
        <v>Bens</v>
      </c>
      <c r="G2" s="2" t="str">
        <f>HYPERLINK("#'Pagamentos'!B2","Pagamentos")</f>
        <v>Pagamentos</v>
      </c>
      <c r="H2" s="3" t="str">
        <f>HYPERLINK("#'Documentos'!B2","Documentos")</f>
        <v>Documentos</v>
      </c>
    </row>
    <row r="3" spans="2:8">
      <c r="B3" s="23"/>
      <c r="C3" s="23"/>
      <c r="D3" s="23"/>
      <c r="E3" s="23"/>
      <c r="F3" s="23"/>
      <c r="G3" s="23"/>
      <c r="H3" s="23"/>
    </row>
    <row r="4" spans="2:8" ht="19.2">
      <c r="B4" s="36" t="s">
        <v>35</v>
      </c>
      <c r="C4" s="36"/>
      <c r="D4" s="36"/>
      <c r="E4" s="36"/>
      <c r="F4" s="36"/>
      <c r="G4" s="36"/>
      <c r="H4" s="36"/>
    </row>
    <row r="5" spans="2:8">
      <c r="B5" s="37"/>
      <c r="C5" s="37"/>
      <c r="D5" s="37"/>
      <c r="E5" s="37"/>
      <c r="F5" s="37"/>
      <c r="G5" s="37"/>
      <c r="H5" s="37"/>
    </row>
    <row r="6" spans="2:8">
      <c r="B6" s="12" t="s">
        <v>36</v>
      </c>
      <c r="C6" s="13" t="s">
        <v>37</v>
      </c>
      <c r="D6" s="13" t="s">
        <v>38</v>
      </c>
      <c r="E6" s="13" t="s">
        <v>39</v>
      </c>
      <c r="F6" s="13" t="s">
        <v>40</v>
      </c>
      <c r="G6" s="13" t="s">
        <v>41</v>
      </c>
      <c r="H6" s="14" t="s">
        <v>42</v>
      </c>
    </row>
    <row r="7" spans="2:8">
      <c r="B7" s="9" t="s">
        <v>43</v>
      </c>
      <c r="C7" s="9" t="s">
        <v>44</v>
      </c>
      <c r="D7" s="9" t="s">
        <v>38</v>
      </c>
      <c r="E7" s="15">
        <v>12500</v>
      </c>
      <c r="F7" s="9" t="s">
        <v>45</v>
      </c>
      <c r="G7" s="9" t="s">
        <v>46</v>
      </c>
      <c r="H7" s="31" t="str">
        <f>IF(COUNTA(B7:G7)=0,"",IF(AND(COUNTIFS(Listas!$A$2:$A$51,B7)=1,COUNTIFS(Listas!$C$2:$C$7,C7)=1,D7&lt;&gt;"",ISNUMBER(E7),OR(F7="Sim",F7="Pendente",F7="Não aplicável")),"OK","Revisar"))</f>
        <v>OK</v>
      </c>
    </row>
    <row r="8" spans="2:8">
      <c r="B8" s="10" t="s">
        <v>47</v>
      </c>
      <c r="C8" s="10" t="s">
        <v>48</v>
      </c>
      <c r="D8" s="10" t="s">
        <v>38</v>
      </c>
      <c r="E8" s="16">
        <v>4800</v>
      </c>
      <c r="F8" s="10" t="s">
        <v>45</v>
      </c>
      <c r="G8" s="10" t="s">
        <v>49</v>
      </c>
      <c r="H8" s="31" t="str">
        <f>IF(COUNTA(B8:G8)=0,"",IF(AND(COUNTIFS(Listas!$A$2:$A$51,B8)=1,COUNTIFS(Listas!$C$2:$C$7,C8)=1,D8&lt;&gt;"",ISNUMBER(E8),OR(F8="Sim",F8="Pendente",F8="Não aplicável")),"OK","Revisar"))</f>
        <v>OK</v>
      </c>
    </row>
    <row r="9" spans="2:8">
      <c r="B9" s="10" t="s">
        <v>50</v>
      </c>
      <c r="C9" s="10" t="s">
        <v>44</v>
      </c>
      <c r="D9" s="10" t="s">
        <v>38</v>
      </c>
      <c r="E9" s="16">
        <v>6200</v>
      </c>
      <c r="F9" s="10" t="s">
        <v>51</v>
      </c>
      <c r="G9" s="10"/>
      <c r="H9" s="31" t="str">
        <f>IF(COUNTA(B9:G9)=0,"",IF(AND(COUNTIFS(Listas!$A$2:$A$51,B9)=1,COUNTIFS(Listas!$C$2:$C$7,C9)=1,D9&lt;&gt;"",ISNUMBER(E9),OR(F9="Sim",F9="Pendente",F9="Não aplicável")),"OK","Revisar"))</f>
        <v>OK</v>
      </c>
    </row>
    <row r="10" spans="2:8">
      <c r="B10" s="10"/>
      <c r="C10" s="10"/>
      <c r="D10" s="10"/>
      <c r="E10" s="16"/>
      <c r="F10" s="10"/>
      <c r="G10" s="10"/>
      <c r="H10" s="31" t="str">
        <f>IF(COUNTA(B10:G10)=0,"",IF(AND(COUNTIFS(Listas!$A$2:$A$51,B10)=1,COUNTIFS(Listas!$C$2:$C$7,C10)=1,D10&lt;&gt;"",ISNUMBER(E10),OR(F10="Sim",F10="Pendente",F10="Não aplicável")),"OK","Revisar"))</f>
        <v/>
      </c>
    </row>
    <row r="11" spans="2:8">
      <c r="B11" s="10"/>
      <c r="C11" s="10"/>
      <c r="D11" s="10"/>
      <c r="E11" s="16"/>
      <c r="F11" s="10"/>
      <c r="G11" s="10"/>
      <c r="H11" s="31" t="str">
        <f>IF(COUNTA(B11:G11)=0,"",IF(AND(COUNTIFS(Listas!$A$2:$A$51,B11)=1,COUNTIFS(Listas!$C$2:$C$7,C11)=1,D11&lt;&gt;"",ISNUMBER(E11),OR(F11="Sim",F11="Pendente",F11="Não aplicável")),"OK","Revisar"))</f>
        <v/>
      </c>
    </row>
    <row r="12" spans="2:8">
      <c r="B12" s="10"/>
      <c r="C12" s="10"/>
      <c r="D12" s="10"/>
      <c r="E12" s="16"/>
      <c r="F12" s="10"/>
      <c r="G12" s="10"/>
      <c r="H12" s="31" t="str">
        <f>IF(COUNTA(B12:G12)=0,"",IF(AND(COUNTIFS(Listas!$A$2:$A$51,B12)=1,COUNTIFS(Listas!$C$2:$C$7,C12)=1,D12&lt;&gt;"",ISNUMBER(E12),OR(F12="Sim",F12="Pendente",F12="Não aplicável")),"OK","Revisar"))</f>
        <v/>
      </c>
    </row>
    <row r="13" spans="2:8">
      <c r="B13" s="10"/>
      <c r="C13" s="10"/>
      <c r="D13" s="10"/>
      <c r="E13" s="16"/>
      <c r="F13" s="10"/>
      <c r="G13" s="10"/>
      <c r="H13" s="31" t="str">
        <f>IF(COUNTA(B13:G13)=0,"",IF(AND(COUNTIFS(Listas!$A$2:$A$51,B13)=1,COUNTIFS(Listas!$C$2:$C$7,C13)=1,D13&lt;&gt;"",ISNUMBER(E13),OR(F13="Sim",F13="Pendente",F13="Não aplicável")),"OK","Revisar"))</f>
        <v/>
      </c>
    </row>
    <row r="14" spans="2:8">
      <c r="B14" s="10"/>
      <c r="C14" s="10"/>
      <c r="D14" s="10"/>
      <c r="E14" s="16"/>
      <c r="F14" s="10"/>
      <c r="G14" s="10"/>
      <c r="H14" s="31" t="str">
        <f>IF(COUNTA(B14:G14)=0,"",IF(AND(COUNTIFS(Listas!$A$2:$A$51,B14)=1,COUNTIFS(Listas!$C$2:$C$7,C14)=1,D14&lt;&gt;"",ISNUMBER(E14),OR(F14="Sim",F14="Pendente",F14="Não aplicável")),"OK","Revisar"))</f>
        <v/>
      </c>
    </row>
    <row r="15" spans="2:8">
      <c r="B15" s="10"/>
      <c r="C15" s="10"/>
      <c r="D15" s="10"/>
      <c r="E15" s="16"/>
      <c r="F15" s="10"/>
      <c r="G15" s="10"/>
      <c r="H15" s="31" t="str">
        <f>IF(COUNTA(B15:G15)=0,"",IF(AND(COUNTIFS(Listas!$A$2:$A$51,B15)=1,COUNTIFS(Listas!$C$2:$C$7,C15)=1,D15&lt;&gt;"",ISNUMBER(E15),OR(F15="Sim",F15="Pendente",F15="Não aplicável")),"OK","Revisar"))</f>
        <v/>
      </c>
    </row>
    <row r="16" spans="2:8">
      <c r="B16" s="10"/>
      <c r="C16" s="10"/>
      <c r="D16" s="10"/>
      <c r="E16" s="16"/>
      <c r="F16" s="10"/>
      <c r="G16" s="10"/>
      <c r="H16" s="31" t="str">
        <f>IF(COUNTA(B16:G16)=0,"",IF(AND(COUNTIFS(Listas!$A$2:$A$51,B16)=1,COUNTIFS(Listas!$C$2:$C$7,C16)=1,D16&lt;&gt;"",ISNUMBER(E16),OR(F16="Sim",F16="Pendente",F16="Não aplicável")),"OK","Revisar"))</f>
        <v/>
      </c>
    </row>
    <row r="17" spans="2:8">
      <c r="B17" s="10"/>
      <c r="C17" s="10"/>
      <c r="D17" s="10"/>
      <c r="E17" s="16"/>
      <c r="F17" s="10"/>
      <c r="G17" s="10"/>
      <c r="H17" s="31" t="str">
        <f>IF(COUNTA(B17:G17)=0,"",IF(AND(COUNTIFS(Listas!$A$2:$A$51,B17)=1,COUNTIFS(Listas!$C$2:$C$7,C17)=1,D17&lt;&gt;"",ISNUMBER(E17),OR(F17="Sim",F17="Pendente",F17="Não aplicável")),"OK","Revisar"))</f>
        <v/>
      </c>
    </row>
    <row r="18" spans="2:8">
      <c r="B18" s="10"/>
      <c r="C18" s="10"/>
      <c r="D18" s="10"/>
      <c r="E18" s="16"/>
      <c r="F18" s="10"/>
      <c r="G18" s="10"/>
      <c r="H18" s="31" t="str">
        <f>IF(COUNTA(B18:G18)=0,"",IF(AND(COUNTIFS(Listas!$A$2:$A$51,B18)=1,COUNTIFS(Listas!$C$2:$C$7,C18)=1,D18&lt;&gt;"",ISNUMBER(E18),OR(F18="Sim",F18="Pendente",F18="Não aplicável")),"OK","Revisar"))</f>
        <v/>
      </c>
    </row>
    <row r="19" spans="2:8">
      <c r="B19" s="10"/>
      <c r="C19" s="10"/>
      <c r="D19" s="10"/>
      <c r="E19" s="16"/>
      <c r="F19" s="10"/>
      <c r="G19" s="10"/>
      <c r="H19" s="31" t="str">
        <f>IF(COUNTA(B19:G19)=0,"",IF(AND(COUNTIFS(Listas!$A$2:$A$51,B19)=1,COUNTIFS(Listas!$C$2:$C$7,C19)=1,D19&lt;&gt;"",ISNUMBER(E19),OR(F19="Sim",F19="Pendente",F19="Não aplicável")),"OK","Revisar"))</f>
        <v/>
      </c>
    </row>
    <row r="20" spans="2:8">
      <c r="B20" s="10"/>
      <c r="C20" s="10"/>
      <c r="D20" s="10"/>
      <c r="E20" s="16"/>
      <c r="F20" s="10"/>
      <c r="G20" s="10"/>
      <c r="H20" s="31" t="str">
        <f>IF(COUNTA(B20:G20)=0,"",IF(AND(COUNTIFS(Listas!$A$2:$A$51,B20)=1,COUNTIFS(Listas!$C$2:$C$7,C20)=1,D20&lt;&gt;"",ISNUMBER(E20),OR(F20="Sim",F20="Pendente",F20="Não aplicável")),"OK","Revisar"))</f>
        <v/>
      </c>
    </row>
    <row r="21" spans="2:8">
      <c r="B21" s="10"/>
      <c r="C21" s="10"/>
      <c r="D21" s="10"/>
      <c r="E21" s="16"/>
      <c r="F21" s="10"/>
      <c r="G21" s="10"/>
      <c r="H21" s="31" t="str">
        <f>IF(COUNTA(B21:G21)=0,"",IF(AND(COUNTIFS(Listas!$A$2:$A$51,B21)=1,COUNTIFS(Listas!$C$2:$C$7,C21)=1,D21&lt;&gt;"",ISNUMBER(E21),OR(F21="Sim",F21="Pendente",F21="Não aplicável")),"OK","Revisar"))</f>
        <v/>
      </c>
    </row>
    <row r="22" spans="2:8">
      <c r="B22" s="10"/>
      <c r="C22" s="10"/>
      <c r="D22" s="10"/>
      <c r="E22" s="16"/>
      <c r="F22" s="10"/>
      <c r="G22" s="10"/>
      <c r="H22" s="31" t="str">
        <f>IF(COUNTA(B22:G22)=0,"",IF(AND(COUNTIFS(Listas!$A$2:$A$51,B22)=1,COUNTIFS(Listas!$C$2:$C$7,C22)=1,D22&lt;&gt;"",ISNUMBER(E22),OR(F22="Sim",F22="Pendente",F22="Não aplicável")),"OK","Revisar"))</f>
        <v/>
      </c>
    </row>
    <row r="23" spans="2:8">
      <c r="B23" s="10"/>
      <c r="C23" s="10"/>
      <c r="D23" s="10"/>
      <c r="E23" s="16"/>
      <c r="F23" s="10"/>
      <c r="G23" s="10"/>
      <c r="H23" s="31" t="str">
        <f>IF(COUNTA(B23:G23)=0,"",IF(AND(COUNTIFS(Listas!$A$2:$A$51,B23)=1,COUNTIFS(Listas!$C$2:$C$7,C23)=1,D23&lt;&gt;"",ISNUMBER(E23),OR(F23="Sim",F23="Pendente",F23="Não aplicável")),"OK","Revisar"))</f>
        <v/>
      </c>
    </row>
    <row r="24" spans="2:8">
      <c r="B24" s="10"/>
      <c r="C24" s="10"/>
      <c r="D24" s="10"/>
      <c r="E24" s="16"/>
      <c r="F24" s="10"/>
      <c r="G24" s="10"/>
      <c r="H24" s="31" t="str">
        <f>IF(COUNTA(B24:G24)=0,"",IF(AND(COUNTIFS(Listas!$A$2:$A$51,B24)=1,COUNTIFS(Listas!$C$2:$C$7,C24)=1,D24&lt;&gt;"",ISNUMBER(E24),OR(F24="Sim",F24="Pendente",F24="Não aplicável")),"OK","Revisar"))</f>
        <v/>
      </c>
    </row>
    <row r="25" spans="2:8">
      <c r="B25" s="10"/>
      <c r="C25" s="10"/>
      <c r="D25" s="10"/>
      <c r="E25" s="16"/>
      <c r="F25" s="10"/>
      <c r="G25" s="10"/>
      <c r="H25" s="31" t="str">
        <f>IF(COUNTA(B25:G25)=0,"",IF(AND(COUNTIFS(Listas!$A$2:$A$51,B25)=1,COUNTIFS(Listas!$C$2:$C$7,C25)=1,D25&lt;&gt;"",ISNUMBER(E25),OR(F25="Sim",F25="Pendente",F25="Não aplicável")),"OK","Revisar"))</f>
        <v/>
      </c>
    </row>
    <row r="26" spans="2:8">
      <c r="B26" s="11"/>
      <c r="C26" s="11"/>
      <c r="D26" s="11"/>
      <c r="E26" s="17"/>
      <c r="F26" s="11"/>
      <c r="G26" s="11"/>
      <c r="H26" s="31" t="str">
        <f>IF(COUNTA(B26:G26)=0,"",IF(AND(COUNTIFS(Listas!$A$2:$A$51,B26)=1,COUNTIFS(Listas!$C$2:$C$7,C26)=1,D26&lt;&gt;"",ISNUMBER(E26),OR(F26="Sim",F26="Pendente",F26="Não aplicável")),"OK","Revisar"))</f>
        <v/>
      </c>
    </row>
  </sheetData>
  <mergeCells count="2">
    <mergeCell ref="B4:H4"/>
    <mergeCell ref="B5:H5"/>
  </mergeCells>
  <conditionalFormatting sqref="H7:H26">
    <cfRule type="containsText" dxfId="13" priority="1" operator="containsText" text="Revisar"/>
    <cfRule type="containsText" dxfId="12" priority="2" operator="containsText" text="OK"/>
  </conditionalFormatting>
  <conditionalFormatting sqref="F7:F26">
    <cfRule type="containsText" dxfId="11" priority="3" operator="containsText" text="Pendente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6B55"/>
  </sheetPr>
  <dimension ref="B1:I26"/>
  <sheetViews>
    <sheetView showGridLines="0" workbookViewId="0">
      <pane ySplit="6" topLeftCell="A7" activePane="bottomLeft" state="frozen"/>
      <selection pane="bottomLeft" activeCell="D2" sqref="D2"/>
    </sheetView>
  </sheetViews>
  <sheetFormatPr defaultRowHeight="13.8"/>
  <cols>
    <col min="2" max="2" width="14" customWidth="1"/>
    <col min="3" max="3" width="20" customWidth="1"/>
    <col min="4" max="4" width="26" customWidth="1"/>
    <col min="5" max="5" width="23" customWidth="1"/>
    <col min="6" max="7" width="18" customWidth="1"/>
    <col min="8" max="8" width="26" customWidth="1"/>
    <col min="9" max="9" width="15" customWidth="1"/>
  </cols>
  <sheetData>
    <row r="1" spans="2:9">
      <c r="B1" s="22"/>
      <c r="C1" s="22"/>
      <c r="D1" s="22"/>
      <c r="E1" s="22"/>
      <c r="F1" s="22"/>
      <c r="G1" s="22"/>
      <c r="H1" s="22"/>
      <c r="I1" s="23"/>
    </row>
    <row r="2" spans="2:9" ht="25.05" customHeight="1">
      <c r="B2" s="1" t="str">
        <f>HYPERLINK("#'Resumo'!B2","Resumo")</f>
        <v>Resumo</v>
      </c>
      <c r="C2" s="2" t="str">
        <f>HYPERLINK("#'Titular'!B2","Titular")</f>
        <v>Titular</v>
      </c>
      <c r="D2" s="2" t="str">
        <f>HYPERLINK("#'Bancos'!B2","Bancos")</f>
        <v>Bancos</v>
      </c>
      <c r="E2" s="8" t="str">
        <f>HYPERLINK("#'Rendimentos'!B2","Rendimentos")</f>
        <v>Rendimentos</v>
      </c>
      <c r="F2" s="2" t="str">
        <f>HYPERLINK("#'Bens'!B2","Bens")</f>
        <v>Bens</v>
      </c>
      <c r="G2" s="2" t="str">
        <f>HYPERLINK("#'Pagamentos'!B2","Pagamentos")</f>
        <v>Pagamentos</v>
      </c>
      <c r="H2" s="3" t="str">
        <f>HYPERLINK("#'Documentos'!B2","Documentos")</f>
        <v>Documentos</v>
      </c>
      <c r="I2" s="23"/>
    </row>
    <row r="3" spans="2:9">
      <c r="B3" s="23"/>
      <c r="C3" s="23"/>
      <c r="D3" s="23"/>
      <c r="E3" s="23"/>
      <c r="F3" s="23"/>
      <c r="G3" s="23"/>
      <c r="H3" s="23"/>
      <c r="I3" s="23"/>
    </row>
    <row r="4" spans="2:9" ht="19.2">
      <c r="B4" s="36" t="s">
        <v>52</v>
      </c>
      <c r="C4" s="36"/>
      <c r="D4" s="36"/>
      <c r="E4" s="36"/>
      <c r="F4" s="36"/>
      <c r="G4" s="36"/>
      <c r="H4" s="36"/>
      <c r="I4" s="23"/>
    </row>
    <row r="5" spans="2:9">
      <c r="B5" s="37"/>
      <c r="C5" s="37"/>
      <c r="D5" s="37"/>
      <c r="E5" s="37"/>
      <c r="F5" s="37"/>
      <c r="G5" s="37"/>
      <c r="H5" s="37"/>
      <c r="I5" s="23"/>
    </row>
    <row r="6" spans="2:9">
      <c r="B6" s="12" t="s">
        <v>53</v>
      </c>
      <c r="C6" s="13" t="s">
        <v>54</v>
      </c>
      <c r="D6" s="13" t="s">
        <v>55</v>
      </c>
      <c r="E6" s="13" t="s">
        <v>56</v>
      </c>
      <c r="F6" s="13" t="s">
        <v>57</v>
      </c>
      <c r="G6" s="13" t="s">
        <v>58</v>
      </c>
      <c r="H6" s="13" t="s">
        <v>59</v>
      </c>
      <c r="I6" s="14" t="s">
        <v>42</v>
      </c>
    </row>
    <row r="7" spans="2:9">
      <c r="B7" s="18">
        <v>45688</v>
      </c>
      <c r="C7" s="9" t="s">
        <v>60</v>
      </c>
      <c r="D7" s="9" t="s">
        <v>61</v>
      </c>
      <c r="E7" s="9" t="s">
        <v>62</v>
      </c>
      <c r="F7" s="15">
        <v>6500</v>
      </c>
      <c r="G7" s="15">
        <v>420</v>
      </c>
      <c r="H7" s="9" t="s">
        <v>63</v>
      </c>
      <c r="I7" s="31" t="str">
        <f>IF(COUNTA(B7:H7)=0,"",IF(AND(ISNUMBER(B7),COUNTIFS(Listas!$E$2:$E$9,C7)=1,D7&lt;&gt;"",E7&lt;&gt;"",ISNUMBER(F7),ISNUMBER(G7)),"OK","Revisar"))</f>
        <v>OK</v>
      </c>
    </row>
    <row r="8" spans="2:9">
      <c r="B8" s="19">
        <v>45716</v>
      </c>
      <c r="C8" s="10" t="s">
        <v>60</v>
      </c>
      <c r="D8" s="10" t="s">
        <v>61</v>
      </c>
      <c r="E8" s="10" t="s">
        <v>62</v>
      </c>
      <c r="F8" s="16">
        <v>6500</v>
      </c>
      <c r="G8" s="16">
        <v>420</v>
      </c>
      <c r="H8" s="10" t="s">
        <v>64</v>
      </c>
      <c r="I8" s="31" t="str">
        <f>IF(COUNTA(B8:H8)=0,"",IF(AND(ISNUMBER(B8),COUNTIFS(Listas!$E$2:$E$9,C8)=1,D8&lt;&gt;"",E8&lt;&gt;"",ISNUMBER(F8),ISNUMBER(G8)),"OK","Revisar"))</f>
        <v>OK</v>
      </c>
    </row>
    <row r="9" spans="2:9">
      <c r="B9" s="19">
        <v>45731</v>
      </c>
      <c r="C9" s="10" t="s">
        <v>65</v>
      </c>
      <c r="D9" s="10" t="s">
        <v>66</v>
      </c>
      <c r="E9" s="10" t="s">
        <v>62</v>
      </c>
      <c r="F9" s="16">
        <v>450</v>
      </c>
      <c r="G9" s="16">
        <v>0</v>
      </c>
      <c r="H9" s="10" t="s">
        <v>67</v>
      </c>
      <c r="I9" s="31" t="str">
        <f>IF(COUNTA(B9:H9)=0,"",IF(AND(ISNUMBER(B9),COUNTIFS(Listas!$E$2:$E$9,C9)=1,D9&lt;&gt;"",E9&lt;&gt;"",ISNUMBER(F9),ISNUMBER(G9)),"OK","Revisar"))</f>
        <v>OK</v>
      </c>
    </row>
    <row r="10" spans="2:9">
      <c r="B10" s="19"/>
      <c r="C10" s="10"/>
      <c r="D10" s="10"/>
      <c r="E10" s="10"/>
      <c r="F10" s="16"/>
      <c r="G10" s="16"/>
      <c r="H10" s="10"/>
      <c r="I10" s="31" t="str">
        <f>IF(COUNTA(B10:H10)=0,"",IF(AND(ISNUMBER(B10),COUNTIFS(Listas!$E$2:$E$9,C10)=1,D10&lt;&gt;"",E10&lt;&gt;"",ISNUMBER(F10),ISNUMBER(G10)),"OK","Revisar"))</f>
        <v/>
      </c>
    </row>
    <row r="11" spans="2:9">
      <c r="B11" s="19"/>
      <c r="C11" s="10"/>
      <c r="D11" s="10"/>
      <c r="E11" s="10"/>
      <c r="F11" s="16"/>
      <c r="G11" s="16"/>
      <c r="H11" s="10"/>
      <c r="I11" s="31" t="str">
        <f>IF(COUNTA(B11:H11)=0,"",IF(AND(ISNUMBER(B11),COUNTIFS(Listas!$E$2:$E$9,C11)=1,D11&lt;&gt;"",E11&lt;&gt;"",ISNUMBER(F11),ISNUMBER(G11)),"OK","Revisar"))</f>
        <v/>
      </c>
    </row>
    <row r="12" spans="2:9">
      <c r="B12" s="19"/>
      <c r="C12" s="10"/>
      <c r="D12" s="10"/>
      <c r="E12" s="10"/>
      <c r="F12" s="16"/>
      <c r="G12" s="16"/>
      <c r="H12" s="10"/>
      <c r="I12" s="31" t="str">
        <f>IF(COUNTA(B12:H12)=0,"",IF(AND(ISNUMBER(B12),COUNTIFS(Listas!$E$2:$E$9,C12)=1,D12&lt;&gt;"",E12&lt;&gt;"",ISNUMBER(F12),ISNUMBER(G12)),"OK","Revisar"))</f>
        <v/>
      </c>
    </row>
    <row r="13" spans="2:9">
      <c r="B13" s="19"/>
      <c r="C13" s="10"/>
      <c r="D13" s="10"/>
      <c r="E13" s="10"/>
      <c r="F13" s="16"/>
      <c r="G13" s="16"/>
      <c r="H13" s="10"/>
      <c r="I13" s="31" t="str">
        <f>IF(COUNTA(B13:H13)=0,"",IF(AND(ISNUMBER(B13),COUNTIFS(Listas!$E$2:$E$9,C13)=1,D13&lt;&gt;"",E13&lt;&gt;"",ISNUMBER(F13),ISNUMBER(G13)),"OK","Revisar"))</f>
        <v/>
      </c>
    </row>
    <row r="14" spans="2:9">
      <c r="B14" s="19"/>
      <c r="C14" s="10"/>
      <c r="D14" s="10"/>
      <c r="E14" s="10"/>
      <c r="F14" s="16"/>
      <c r="G14" s="16"/>
      <c r="H14" s="10"/>
      <c r="I14" s="31" t="str">
        <f>IF(COUNTA(B14:H14)=0,"",IF(AND(ISNUMBER(B14),COUNTIFS(Listas!$E$2:$E$9,C14)=1,D14&lt;&gt;"",E14&lt;&gt;"",ISNUMBER(F14),ISNUMBER(G14)),"OK","Revisar"))</f>
        <v/>
      </c>
    </row>
    <row r="15" spans="2:9">
      <c r="B15" s="19"/>
      <c r="C15" s="10"/>
      <c r="D15" s="10"/>
      <c r="E15" s="10"/>
      <c r="F15" s="16"/>
      <c r="G15" s="16"/>
      <c r="H15" s="10"/>
      <c r="I15" s="31" t="str">
        <f>IF(COUNTA(B15:H15)=0,"",IF(AND(ISNUMBER(B15),COUNTIFS(Listas!$E$2:$E$9,C15)=1,D15&lt;&gt;"",E15&lt;&gt;"",ISNUMBER(F15),ISNUMBER(G15)),"OK","Revisar"))</f>
        <v/>
      </c>
    </row>
    <row r="16" spans="2:9">
      <c r="B16" s="19"/>
      <c r="C16" s="10"/>
      <c r="D16" s="10"/>
      <c r="E16" s="10"/>
      <c r="F16" s="16"/>
      <c r="G16" s="16"/>
      <c r="H16" s="10"/>
      <c r="I16" s="31" t="str">
        <f>IF(COUNTA(B16:H16)=0,"",IF(AND(ISNUMBER(B16),COUNTIFS(Listas!$E$2:$E$9,C16)=1,D16&lt;&gt;"",E16&lt;&gt;"",ISNUMBER(F16),ISNUMBER(G16)),"OK","Revisar"))</f>
        <v/>
      </c>
    </row>
    <row r="17" spans="2:9">
      <c r="B17" s="19"/>
      <c r="C17" s="10"/>
      <c r="D17" s="10"/>
      <c r="E17" s="10"/>
      <c r="F17" s="16"/>
      <c r="G17" s="16"/>
      <c r="H17" s="10"/>
      <c r="I17" s="31" t="str">
        <f>IF(COUNTA(B17:H17)=0,"",IF(AND(ISNUMBER(B17),COUNTIFS(Listas!$E$2:$E$9,C17)=1,D17&lt;&gt;"",E17&lt;&gt;"",ISNUMBER(F17),ISNUMBER(G17)),"OK","Revisar"))</f>
        <v/>
      </c>
    </row>
    <row r="18" spans="2:9">
      <c r="B18" s="19"/>
      <c r="C18" s="10"/>
      <c r="D18" s="10"/>
      <c r="E18" s="10"/>
      <c r="F18" s="16"/>
      <c r="G18" s="16"/>
      <c r="H18" s="10"/>
      <c r="I18" s="31" t="str">
        <f>IF(COUNTA(B18:H18)=0,"",IF(AND(ISNUMBER(B18),COUNTIFS(Listas!$E$2:$E$9,C18)=1,D18&lt;&gt;"",E18&lt;&gt;"",ISNUMBER(F18),ISNUMBER(G18)),"OK","Revisar"))</f>
        <v/>
      </c>
    </row>
    <row r="19" spans="2:9">
      <c r="B19" s="19"/>
      <c r="C19" s="10"/>
      <c r="D19" s="10"/>
      <c r="E19" s="10"/>
      <c r="F19" s="16"/>
      <c r="G19" s="16"/>
      <c r="H19" s="10"/>
      <c r="I19" s="31" t="str">
        <f>IF(COUNTA(B19:H19)=0,"",IF(AND(ISNUMBER(B19),COUNTIFS(Listas!$E$2:$E$9,C19)=1,D19&lt;&gt;"",E19&lt;&gt;"",ISNUMBER(F19),ISNUMBER(G19)),"OK","Revisar"))</f>
        <v/>
      </c>
    </row>
    <row r="20" spans="2:9">
      <c r="B20" s="19"/>
      <c r="C20" s="10"/>
      <c r="D20" s="10"/>
      <c r="E20" s="10"/>
      <c r="F20" s="16"/>
      <c r="G20" s="16"/>
      <c r="H20" s="10"/>
      <c r="I20" s="31" t="str">
        <f>IF(COUNTA(B20:H20)=0,"",IF(AND(ISNUMBER(B20),COUNTIFS(Listas!$E$2:$E$9,C20)=1,D20&lt;&gt;"",E20&lt;&gt;"",ISNUMBER(F20),ISNUMBER(G20)),"OK","Revisar"))</f>
        <v/>
      </c>
    </row>
    <row r="21" spans="2:9">
      <c r="B21" s="19"/>
      <c r="C21" s="10"/>
      <c r="D21" s="10"/>
      <c r="E21" s="10"/>
      <c r="F21" s="16"/>
      <c r="G21" s="16"/>
      <c r="H21" s="10"/>
      <c r="I21" s="31" t="str">
        <f>IF(COUNTA(B21:H21)=0,"",IF(AND(ISNUMBER(B21),COUNTIFS(Listas!$E$2:$E$9,C21)=1,D21&lt;&gt;"",E21&lt;&gt;"",ISNUMBER(F21),ISNUMBER(G21)),"OK","Revisar"))</f>
        <v/>
      </c>
    </row>
    <row r="22" spans="2:9">
      <c r="B22" s="19"/>
      <c r="C22" s="10"/>
      <c r="D22" s="10"/>
      <c r="E22" s="10"/>
      <c r="F22" s="16"/>
      <c r="G22" s="16"/>
      <c r="H22" s="10"/>
      <c r="I22" s="31" t="str">
        <f>IF(COUNTA(B22:H22)=0,"",IF(AND(ISNUMBER(B22),COUNTIFS(Listas!$E$2:$E$9,C22)=1,D22&lt;&gt;"",E22&lt;&gt;"",ISNUMBER(F22),ISNUMBER(G22)),"OK","Revisar"))</f>
        <v/>
      </c>
    </row>
    <row r="23" spans="2:9">
      <c r="B23" s="19"/>
      <c r="C23" s="10"/>
      <c r="D23" s="10"/>
      <c r="E23" s="10"/>
      <c r="F23" s="16"/>
      <c r="G23" s="16"/>
      <c r="H23" s="10"/>
      <c r="I23" s="31" t="str">
        <f>IF(COUNTA(B23:H23)=0,"",IF(AND(ISNUMBER(B23),COUNTIFS(Listas!$E$2:$E$9,C23)=1,D23&lt;&gt;"",E23&lt;&gt;"",ISNUMBER(F23),ISNUMBER(G23)),"OK","Revisar"))</f>
        <v/>
      </c>
    </row>
    <row r="24" spans="2:9">
      <c r="B24" s="19"/>
      <c r="C24" s="10"/>
      <c r="D24" s="10"/>
      <c r="E24" s="10"/>
      <c r="F24" s="16"/>
      <c r="G24" s="16"/>
      <c r="H24" s="10"/>
      <c r="I24" s="31" t="str">
        <f>IF(COUNTA(B24:H24)=0,"",IF(AND(ISNUMBER(B24),COUNTIFS(Listas!$E$2:$E$9,C24)=1,D24&lt;&gt;"",E24&lt;&gt;"",ISNUMBER(F24),ISNUMBER(G24)),"OK","Revisar"))</f>
        <v/>
      </c>
    </row>
    <row r="25" spans="2:9">
      <c r="B25" s="19"/>
      <c r="C25" s="10"/>
      <c r="D25" s="10"/>
      <c r="E25" s="10"/>
      <c r="F25" s="16"/>
      <c r="G25" s="16"/>
      <c r="H25" s="10"/>
      <c r="I25" s="31" t="str">
        <f>IF(COUNTA(B25:H25)=0,"",IF(AND(ISNUMBER(B25),COUNTIFS(Listas!$E$2:$E$9,C25)=1,D25&lt;&gt;"",E25&lt;&gt;"",ISNUMBER(F25),ISNUMBER(G25)),"OK","Revisar"))</f>
        <v/>
      </c>
    </row>
    <row r="26" spans="2:9">
      <c r="B26" s="20"/>
      <c r="C26" s="11"/>
      <c r="D26" s="11"/>
      <c r="E26" s="11"/>
      <c r="F26" s="17"/>
      <c r="G26" s="17"/>
      <c r="H26" s="11"/>
      <c r="I26" s="31" t="str">
        <f>IF(COUNTA(B26:H26)=0,"",IF(AND(ISNUMBER(B26),COUNTIFS(Listas!$E$2:$E$9,C26)=1,D26&lt;&gt;"",E26&lt;&gt;"",ISNUMBER(F26),ISNUMBER(G26)),"OK","Revisar"))</f>
        <v/>
      </c>
    </row>
  </sheetData>
  <mergeCells count="2">
    <mergeCell ref="B4:H4"/>
    <mergeCell ref="B5:H5"/>
  </mergeCells>
  <conditionalFormatting sqref="I7:I26">
    <cfRule type="containsText" dxfId="10" priority="1" operator="containsText" text="Revisar"/>
    <cfRule type="containsText" dxfId="9" priority="2" operator="containsText" text="OK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6B55"/>
  </sheetPr>
  <dimension ref="B1:I26"/>
  <sheetViews>
    <sheetView showGridLines="0" workbookViewId="0">
      <pane ySplit="6" topLeftCell="A7" activePane="bottomLeft" state="frozen"/>
      <selection pane="bottomLeft" activeCell="E2" sqref="E2"/>
    </sheetView>
  </sheetViews>
  <sheetFormatPr defaultRowHeight="13.8"/>
  <cols>
    <col min="2" max="2" width="18" customWidth="1"/>
    <col min="3" max="3" width="32" customWidth="1"/>
    <col min="4" max="6" width="18" customWidth="1"/>
    <col min="7" max="7" width="14" customWidth="1"/>
    <col min="8" max="8" width="28" customWidth="1"/>
    <col min="9" max="9" width="15" customWidth="1"/>
  </cols>
  <sheetData>
    <row r="1" spans="2:9">
      <c r="B1" s="22"/>
      <c r="C1" s="22"/>
      <c r="D1" s="22"/>
      <c r="E1" s="22"/>
      <c r="F1" s="22"/>
      <c r="G1" s="22"/>
      <c r="H1" s="22"/>
      <c r="I1" s="23"/>
    </row>
    <row r="2" spans="2:9" ht="25.05" customHeight="1">
      <c r="B2" s="1" t="str">
        <f>HYPERLINK("#'Resumo'!B2","Resumo")</f>
        <v>Resumo</v>
      </c>
      <c r="C2" s="2" t="str">
        <f>HYPERLINK("#'Titular'!B2","Titular")</f>
        <v>Titular</v>
      </c>
      <c r="D2" s="2" t="str">
        <f>HYPERLINK("#'Bancos'!B2","Bancos")</f>
        <v>Bancos</v>
      </c>
      <c r="E2" s="2" t="str">
        <f>HYPERLINK("#'Rendimentos'!B2","Rendimentos")</f>
        <v>Rendimentos</v>
      </c>
      <c r="F2" s="8" t="str">
        <f>HYPERLINK("#'Bens'!B2","Bens")</f>
        <v>Bens</v>
      </c>
      <c r="G2" s="2" t="str">
        <f>HYPERLINK("#'Pagamentos'!B2","Pagamentos")</f>
        <v>Pagamentos</v>
      </c>
      <c r="H2" s="3" t="str">
        <f>HYPERLINK("#'Documentos'!B2","Documentos")</f>
        <v>Documentos</v>
      </c>
      <c r="I2" s="23"/>
    </row>
    <row r="3" spans="2:9">
      <c r="B3" s="23"/>
      <c r="C3" s="23"/>
      <c r="D3" s="23"/>
      <c r="E3" s="23"/>
      <c r="F3" s="23"/>
      <c r="G3" s="23"/>
      <c r="H3" s="23"/>
      <c r="I3" s="23"/>
    </row>
    <row r="4" spans="2:9" ht="19.2">
      <c r="B4" s="36" t="s">
        <v>4</v>
      </c>
      <c r="C4" s="36"/>
      <c r="D4" s="36"/>
      <c r="E4" s="36"/>
      <c r="F4" s="36"/>
      <c r="G4" s="36"/>
      <c r="H4" s="36"/>
      <c r="I4" s="23"/>
    </row>
    <row r="5" spans="2:9">
      <c r="B5" s="37"/>
      <c r="C5" s="37"/>
      <c r="D5" s="37"/>
      <c r="E5" s="37"/>
      <c r="F5" s="37"/>
      <c r="G5" s="37"/>
      <c r="H5" s="37"/>
      <c r="I5" s="23"/>
    </row>
    <row r="6" spans="2:9">
      <c r="B6" s="12" t="s">
        <v>68</v>
      </c>
      <c r="C6" s="13" t="s">
        <v>69</v>
      </c>
      <c r="D6" s="13" t="s">
        <v>70</v>
      </c>
      <c r="E6" s="13" t="s">
        <v>71</v>
      </c>
      <c r="F6" s="13" t="s">
        <v>72</v>
      </c>
      <c r="G6" s="13" t="s">
        <v>73</v>
      </c>
      <c r="H6" s="13" t="s">
        <v>74</v>
      </c>
      <c r="I6" s="14" t="s">
        <v>42</v>
      </c>
    </row>
    <row r="7" spans="2:9">
      <c r="B7" s="9" t="s">
        <v>75</v>
      </c>
      <c r="C7" s="9" t="s">
        <v>76</v>
      </c>
      <c r="D7" s="18">
        <v>45087</v>
      </c>
      <c r="E7" s="15">
        <v>35000</v>
      </c>
      <c r="F7" s="15">
        <v>35000</v>
      </c>
      <c r="G7" s="9" t="s">
        <v>45</v>
      </c>
      <c r="H7" s="9" t="s">
        <v>77</v>
      </c>
      <c r="I7" s="31" t="str">
        <f>IF(COUNTA(B7:H7)=0,"",IF(AND(COUNTIFS(Listas!$G$2:$G$9,B7)=1,C7&lt;&gt;"",ISNUMBER(D7),ISNUMBER(E7),ISNUMBER(F7),OR(G7="Sim",G7="Não",G7="Verificar")),"OK","Revisar"))</f>
        <v>OK</v>
      </c>
    </row>
    <row r="8" spans="2:9">
      <c r="B8" s="10" t="s">
        <v>78</v>
      </c>
      <c r="C8" s="10" t="s">
        <v>79</v>
      </c>
      <c r="D8" s="19">
        <v>45717</v>
      </c>
      <c r="E8" s="16">
        <v>0</v>
      </c>
      <c r="F8" s="16">
        <v>4200</v>
      </c>
      <c r="G8" s="10" t="s">
        <v>45</v>
      </c>
      <c r="H8" s="10" t="s">
        <v>80</v>
      </c>
      <c r="I8" s="31" t="str">
        <f>IF(COUNTA(B8:H8)=0,"",IF(AND(COUNTIFS(Listas!$G$2:$G$9,B8)=1,C8&lt;&gt;"",ISNUMBER(D8),ISNUMBER(E8),ISNUMBER(F8),OR(G8="Sim",G8="Não",G8="Verificar")),"OK","Revisar"))</f>
        <v>OK</v>
      </c>
    </row>
    <row r="9" spans="2:9">
      <c r="B9" s="10"/>
      <c r="C9" s="10"/>
      <c r="D9" s="19"/>
      <c r="E9" s="16"/>
      <c r="F9" s="16"/>
      <c r="G9" s="10"/>
      <c r="H9" s="10"/>
      <c r="I9" s="31" t="str">
        <f>IF(COUNTA(B9:H9)=0,"",IF(AND(COUNTIFS(Listas!$G$2:$G$9,B9)=1,C9&lt;&gt;"",ISNUMBER(D9),ISNUMBER(E9),ISNUMBER(F9),OR(G9="Sim",G9="Não",G9="Verificar")),"OK","Revisar"))</f>
        <v/>
      </c>
    </row>
    <row r="10" spans="2:9">
      <c r="B10" s="10"/>
      <c r="C10" s="10"/>
      <c r="D10" s="19"/>
      <c r="E10" s="16"/>
      <c r="F10" s="16"/>
      <c r="G10" s="10"/>
      <c r="H10" s="10"/>
      <c r="I10" s="31" t="str">
        <f>IF(COUNTA(B10:H10)=0,"",IF(AND(COUNTIFS(Listas!$G$2:$G$9,B10)=1,C10&lt;&gt;"",ISNUMBER(D10),ISNUMBER(E10),ISNUMBER(F10),OR(G10="Sim",G10="Não",G10="Verificar")),"OK","Revisar"))</f>
        <v/>
      </c>
    </row>
    <row r="11" spans="2:9">
      <c r="B11" s="10"/>
      <c r="C11" s="10"/>
      <c r="D11" s="19"/>
      <c r="E11" s="16"/>
      <c r="F11" s="16"/>
      <c r="G11" s="10"/>
      <c r="H11" s="10"/>
      <c r="I11" s="31" t="str">
        <f>IF(COUNTA(B11:H11)=0,"",IF(AND(COUNTIFS(Listas!$G$2:$G$9,B11)=1,C11&lt;&gt;"",ISNUMBER(D11),ISNUMBER(E11),ISNUMBER(F11),OR(G11="Sim",G11="Não",G11="Verificar")),"OK","Revisar"))</f>
        <v/>
      </c>
    </row>
    <row r="12" spans="2:9">
      <c r="B12" s="10"/>
      <c r="C12" s="10"/>
      <c r="D12" s="19"/>
      <c r="E12" s="16"/>
      <c r="F12" s="16"/>
      <c r="G12" s="10"/>
      <c r="H12" s="10"/>
      <c r="I12" s="31" t="str">
        <f>IF(COUNTA(B12:H12)=0,"",IF(AND(COUNTIFS(Listas!$G$2:$G$9,B12)=1,C12&lt;&gt;"",ISNUMBER(D12),ISNUMBER(E12),ISNUMBER(F12),OR(G12="Sim",G12="Não",G12="Verificar")),"OK","Revisar"))</f>
        <v/>
      </c>
    </row>
    <row r="13" spans="2:9">
      <c r="B13" s="10"/>
      <c r="C13" s="10"/>
      <c r="D13" s="19"/>
      <c r="E13" s="16"/>
      <c r="F13" s="16"/>
      <c r="G13" s="10"/>
      <c r="H13" s="10"/>
      <c r="I13" s="31" t="str">
        <f>IF(COUNTA(B13:H13)=0,"",IF(AND(COUNTIFS(Listas!$G$2:$G$9,B13)=1,C13&lt;&gt;"",ISNUMBER(D13),ISNUMBER(E13),ISNUMBER(F13),OR(G13="Sim",G13="Não",G13="Verificar")),"OK","Revisar"))</f>
        <v/>
      </c>
    </row>
    <row r="14" spans="2:9">
      <c r="B14" s="10"/>
      <c r="C14" s="10"/>
      <c r="D14" s="19"/>
      <c r="E14" s="16"/>
      <c r="F14" s="16"/>
      <c r="G14" s="10"/>
      <c r="H14" s="10"/>
      <c r="I14" s="31" t="str">
        <f>IF(COUNTA(B14:H14)=0,"",IF(AND(COUNTIFS(Listas!$G$2:$G$9,B14)=1,C14&lt;&gt;"",ISNUMBER(D14),ISNUMBER(E14),ISNUMBER(F14),OR(G14="Sim",G14="Não",G14="Verificar")),"OK","Revisar"))</f>
        <v/>
      </c>
    </row>
    <row r="15" spans="2:9">
      <c r="B15" s="10"/>
      <c r="C15" s="10"/>
      <c r="D15" s="19"/>
      <c r="E15" s="16"/>
      <c r="F15" s="16"/>
      <c r="G15" s="10"/>
      <c r="H15" s="10"/>
      <c r="I15" s="31" t="str">
        <f>IF(COUNTA(B15:H15)=0,"",IF(AND(COUNTIFS(Listas!$G$2:$G$9,B15)=1,C15&lt;&gt;"",ISNUMBER(D15),ISNUMBER(E15),ISNUMBER(F15),OR(G15="Sim",G15="Não",G15="Verificar")),"OK","Revisar"))</f>
        <v/>
      </c>
    </row>
    <row r="16" spans="2:9">
      <c r="B16" s="10"/>
      <c r="C16" s="10"/>
      <c r="D16" s="19"/>
      <c r="E16" s="16"/>
      <c r="F16" s="16"/>
      <c r="G16" s="10"/>
      <c r="H16" s="10"/>
      <c r="I16" s="31" t="str">
        <f>IF(COUNTA(B16:H16)=0,"",IF(AND(COUNTIFS(Listas!$G$2:$G$9,B16)=1,C16&lt;&gt;"",ISNUMBER(D16),ISNUMBER(E16),ISNUMBER(F16),OR(G16="Sim",G16="Não",G16="Verificar")),"OK","Revisar"))</f>
        <v/>
      </c>
    </row>
    <row r="17" spans="2:9">
      <c r="B17" s="10"/>
      <c r="C17" s="10"/>
      <c r="D17" s="19"/>
      <c r="E17" s="16"/>
      <c r="F17" s="16"/>
      <c r="G17" s="10"/>
      <c r="H17" s="10"/>
      <c r="I17" s="31" t="str">
        <f>IF(COUNTA(B17:H17)=0,"",IF(AND(COUNTIFS(Listas!$G$2:$G$9,B17)=1,C17&lt;&gt;"",ISNUMBER(D17),ISNUMBER(E17),ISNUMBER(F17),OR(G17="Sim",G17="Não",G17="Verificar")),"OK","Revisar"))</f>
        <v/>
      </c>
    </row>
    <row r="18" spans="2:9">
      <c r="B18" s="10"/>
      <c r="C18" s="10"/>
      <c r="D18" s="19"/>
      <c r="E18" s="16"/>
      <c r="F18" s="16"/>
      <c r="G18" s="10"/>
      <c r="H18" s="10"/>
      <c r="I18" s="31" t="str">
        <f>IF(COUNTA(B18:H18)=0,"",IF(AND(COUNTIFS(Listas!$G$2:$G$9,B18)=1,C18&lt;&gt;"",ISNUMBER(D18),ISNUMBER(E18),ISNUMBER(F18),OR(G18="Sim",G18="Não",G18="Verificar")),"OK","Revisar"))</f>
        <v/>
      </c>
    </row>
    <row r="19" spans="2:9">
      <c r="B19" s="10"/>
      <c r="C19" s="10"/>
      <c r="D19" s="19"/>
      <c r="E19" s="16"/>
      <c r="F19" s="16"/>
      <c r="G19" s="10"/>
      <c r="H19" s="10"/>
      <c r="I19" s="31" t="str">
        <f>IF(COUNTA(B19:H19)=0,"",IF(AND(COUNTIFS(Listas!$G$2:$G$9,B19)=1,C19&lt;&gt;"",ISNUMBER(D19),ISNUMBER(E19),ISNUMBER(F19),OR(G19="Sim",G19="Não",G19="Verificar")),"OK","Revisar"))</f>
        <v/>
      </c>
    </row>
    <row r="20" spans="2:9">
      <c r="B20" s="10"/>
      <c r="C20" s="10"/>
      <c r="D20" s="19"/>
      <c r="E20" s="16"/>
      <c r="F20" s="16"/>
      <c r="G20" s="10"/>
      <c r="H20" s="10"/>
      <c r="I20" s="31" t="str">
        <f>IF(COUNTA(B20:H20)=0,"",IF(AND(COUNTIFS(Listas!$G$2:$G$9,B20)=1,C20&lt;&gt;"",ISNUMBER(D20),ISNUMBER(E20),ISNUMBER(F20),OR(G20="Sim",G20="Não",G20="Verificar")),"OK","Revisar"))</f>
        <v/>
      </c>
    </row>
    <row r="21" spans="2:9">
      <c r="B21" s="10"/>
      <c r="C21" s="10"/>
      <c r="D21" s="19"/>
      <c r="E21" s="16"/>
      <c r="F21" s="16"/>
      <c r="G21" s="10"/>
      <c r="H21" s="10"/>
      <c r="I21" s="31" t="str">
        <f>IF(COUNTA(B21:H21)=0,"",IF(AND(COUNTIFS(Listas!$G$2:$G$9,B21)=1,C21&lt;&gt;"",ISNUMBER(D21),ISNUMBER(E21),ISNUMBER(F21),OR(G21="Sim",G21="Não",G21="Verificar")),"OK","Revisar"))</f>
        <v/>
      </c>
    </row>
    <row r="22" spans="2:9">
      <c r="B22" s="10"/>
      <c r="C22" s="10"/>
      <c r="D22" s="19"/>
      <c r="E22" s="16"/>
      <c r="F22" s="16"/>
      <c r="G22" s="10"/>
      <c r="H22" s="10"/>
      <c r="I22" s="31" t="str">
        <f>IF(COUNTA(B22:H22)=0,"",IF(AND(COUNTIFS(Listas!$G$2:$G$9,B22)=1,C22&lt;&gt;"",ISNUMBER(D22),ISNUMBER(E22),ISNUMBER(F22),OR(G22="Sim",G22="Não",G22="Verificar")),"OK","Revisar"))</f>
        <v/>
      </c>
    </row>
    <row r="23" spans="2:9">
      <c r="B23" s="10"/>
      <c r="C23" s="10"/>
      <c r="D23" s="19"/>
      <c r="E23" s="16"/>
      <c r="F23" s="16"/>
      <c r="G23" s="10"/>
      <c r="H23" s="10"/>
      <c r="I23" s="31" t="str">
        <f>IF(COUNTA(B23:H23)=0,"",IF(AND(COUNTIFS(Listas!$G$2:$G$9,B23)=1,C23&lt;&gt;"",ISNUMBER(D23),ISNUMBER(E23),ISNUMBER(F23),OR(G23="Sim",G23="Não",G23="Verificar")),"OK","Revisar"))</f>
        <v/>
      </c>
    </row>
    <row r="24" spans="2:9">
      <c r="B24" s="10"/>
      <c r="C24" s="10"/>
      <c r="D24" s="19"/>
      <c r="E24" s="16"/>
      <c r="F24" s="16"/>
      <c r="G24" s="10"/>
      <c r="H24" s="10"/>
      <c r="I24" s="31" t="str">
        <f>IF(COUNTA(B24:H24)=0,"",IF(AND(COUNTIFS(Listas!$G$2:$G$9,B24)=1,C24&lt;&gt;"",ISNUMBER(D24),ISNUMBER(E24),ISNUMBER(F24),OR(G24="Sim",G24="Não",G24="Verificar")),"OK","Revisar"))</f>
        <v/>
      </c>
    </row>
    <row r="25" spans="2:9">
      <c r="B25" s="10"/>
      <c r="C25" s="10"/>
      <c r="D25" s="19"/>
      <c r="E25" s="16"/>
      <c r="F25" s="16"/>
      <c r="G25" s="10"/>
      <c r="H25" s="10"/>
      <c r="I25" s="31" t="str">
        <f>IF(COUNTA(B25:H25)=0,"",IF(AND(COUNTIFS(Listas!$G$2:$G$9,B25)=1,C25&lt;&gt;"",ISNUMBER(D25),ISNUMBER(E25),ISNUMBER(F25),OR(G25="Sim",G25="Não",G25="Verificar")),"OK","Revisar"))</f>
        <v/>
      </c>
    </row>
    <row r="26" spans="2:9">
      <c r="B26" s="11"/>
      <c r="C26" s="11"/>
      <c r="D26" s="20"/>
      <c r="E26" s="17"/>
      <c r="F26" s="17"/>
      <c r="G26" s="11"/>
      <c r="H26" s="11"/>
      <c r="I26" s="31" t="str">
        <f>IF(COUNTA(B26:H26)=0,"",IF(AND(COUNTIFS(Listas!$G$2:$G$9,B26)=1,C26&lt;&gt;"",ISNUMBER(D26),ISNUMBER(E26),ISNUMBER(F26),OR(G26="Sim",G26="Não",G26="Verificar")),"OK","Revisar"))</f>
        <v/>
      </c>
    </row>
  </sheetData>
  <mergeCells count="2">
    <mergeCell ref="B4:H4"/>
    <mergeCell ref="B5:H5"/>
  </mergeCells>
  <conditionalFormatting sqref="I7:I26">
    <cfRule type="containsText" dxfId="8" priority="1" operator="containsText" text="Revisar"/>
    <cfRule type="containsText" dxfId="7" priority="2" operator="containsText" text="OK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6B55"/>
  </sheetPr>
  <dimension ref="B1:I26"/>
  <sheetViews>
    <sheetView showGridLines="0" workbookViewId="0">
      <pane ySplit="6" topLeftCell="A7" activePane="bottomLeft" state="frozen"/>
      <selection pane="bottomLeft" activeCell="F2" sqref="F2"/>
    </sheetView>
  </sheetViews>
  <sheetFormatPr defaultRowHeight="13.8"/>
  <cols>
    <col min="2" max="2" width="14" customWidth="1"/>
    <col min="3" max="3" width="20" customWidth="1"/>
    <col min="4" max="4" width="26" customWidth="1"/>
    <col min="5" max="5" width="23" customWidth="1"/>
    <col min="6" max="6" width="18" customWidth="1"/>
    <col min="7" max="7" width="15" customWidth="1"/>
    <col min="8" max="8" width="26" customWidth="1"/>
    <col min="9" max="9" width="15" customWidth="1"/>
  </cols>
  <sheetData>
    <row r="1" spans="2:9">
      <c r="B1" s="22"/>
      <c r="C1" s="22"/>
      <c r="D1" s="22"/>
      <c r="E1" s="22"/>
      <c r="F1" s="22"/>
      <c r="G1" s="22"/>
      <c r="H1" s="22"/>
      <c r="I1" s="23"/>
    </row>
    <row r="2" spans="2:9" ht="25.05" customHeight="1">
      <c r="B2" s="1" t="str">
        <f>HYPERLINK("#'Resumo'!B2","Resumo")</f>
        <v>Resumo</v>
      </c>
      <c r="C2" s="2" t="str">
        <f>HYPERLINK("#'Titular'!B2","Titular")</f>
        <v>Titular</v>
      </c>
      <c r="D2" s="2" t="str">
        <f>HYPERLINK("#'Bancos'!B2","Bancos")</f>
        <v>Bancos</v>
      </c>
      <c r="E2" s="2" t="str">
        <f>HYPERLINK("#'Rendimentos'!B2","Rendimentos")</f>
        <v>Rendimentos</v>
      </c>
      <c r="F2" s="2" t="str">
        <f>HYPERLINK("#'Bens'!B2","Bens")</f>
        <v>Bens</v>
      </c>
      <c r="G2" s="8" t="str">
        <f>HYPERLINK("#'Pagamentos'!B2","Pagamentos")</f>
        <v>Pagamentos</v>
      </c>
      <c r="H2" s="3" t="str">
        <f>HYPERLINK("#'Documentos'!B2","Documentos")</f>
        <v>Documentos</v>
      </c>
      <c r="I2" s="23"/>
    </row>
    <row r="3" spans="2:9">
      <c r="B3" s="23"/>
      <c r="C3" s="23"/>
      <c r="D3" s="23"/>
      <c r="E3" s="23"/>
      <c r="F3" s="23"/>
      <c r="G3" s="23"/>
      <c r="H3" s="23"/>
      <c r="I3" s="23"/>
    </row>
    <row r="4" spans="2:9" ht="19.2">
      <c r="B4" s="36" t="s">
        <v>81</v>
      </c>
      <c r="C4" s="36"/>
      <c r="D4" s="36"/>
      <c r="E4" s="36"/>
      <c r="F4" s="36"/>
      <c r="G4" s="36"/>
      <c r="H4" s="36"/>
      <c r="I4" s="23"/>
    </row>
    <row r="5" spans="2:9">
      <c r="B5" s="37"/>
      <c r="C5" s="37"/>
      <c r="D5" s="37"/>
      <c r="E5" s="37"/>
      <c r="F5" s="37"/>
      <c r="G5" s="37"/>
      <c r="H5" s="37"/>
      <c r="I5" s="23"/>
    </row>
    <row r="6" spans="2:9">
      <c r="B6" s="12" t="s">
        <v>53</v>
      </c>
      <c r="C6" s="13" t="s">
        <v>54</v>
      </c>
      <c r="D6" s="13" t="s">
        <v>82</v>
      </c>
      <c r="E6" s="13" t="s">
        <v>56</v>
      </c>
      <c r="F6" s="13" t="s">
        <v>83</v>
      </c>
      <c r="G6" s="13" t="s">
        <v>84</v>
      </c>
      <c r="H6" s="13" t="s">
        <v>59</v>
      </c>
      <c r="I6" s="14" t="s">
        <v>42</v>
      </c>
    </row>
    <row r="7" spans="2:9">
      <c r="B7" s="18">
        <v>45698</v>
      </c>
      <c r="C7" s="9" t="s">
        <v>85</v>
      </c>
      <c r="D7" s="9" t="s">
        <v>86</v>
      </c>
      <c r="E7" s="9" t="s">
        <v>62</v>
      </c>
      <c r="F7" s="15">
        <v>1800</v>
      </c>
      <c r="G7" s="9" t="s">
        <v>45</v>
      </c>
      <c r="H7" s="9" t="s">
        <v>87</v>
      </c>
      <c r="I7" s="31" t="str">
        <f>IF(COUNTA(B7:H7)=0,"",IF(AND(ISNUMBER(B7),COUNTIFS(Listas!$I$2:$I$9,C7)=1,D7&lt;&gt;"",E7&lt;&gt;"",ISNUMBER(F7),OR(G7="Sim",G7="Não")),"OK","Revisar"))</f>
        <v>OK</v>
      </c>
    </row>
    <row r="8" spans="2:9">
      <c r="B8" s="19">
        <v>45721</v>
      </c>
      <c r="C8" s="10" t="s">
        <v>88</v>
      </c>
      <c r="D8" s="10" t="s">
        <v>89</v>
      </c>
      <c r="E8" s="10" t="s">
        <v>62</v>
      </c>
      <c r="F8" s="16">
        <v>450</v>
      </c>
      <c r="G8" s="10" t="s">
        <v>45</v>
      </c>
      <c r="H8" s="10" t="s">
        <v>90</v>
      </c>
      <c r="I8" s="31" t="str">
        <f>IF(COUNTA(B8:H8)=0,"",IF(AND(ISNUMBER(B8),COUNTIFS(Listas!$I$2:$I$9,C8)=1,D8&lt;&gt;"",E8&lt;&gt;"",ISNUMBER(F8),OR(G8="Sim",G8="Não")),"OK","Revisar"))</f>
        <v>OK</v>
      </c>
    </row>
    <row r="9" spans="2:9">
      <c r="B9" s="19">
        <v>45759</v>
      </c>
      <c r="C9" s="10" t="s">
        <v>91</v>
      </c>
      <c r="D9" s="10" t="s">
        <v>92</v>
      </c>
      <c r="E9" s="10" t="s">
        <v>62</v>
      </c>
      <c r="F9" s="16">
        <v>200</v>
      </c>
      <c r="G9" s="10" t="s">
        <v>93</v>
      </c>
      <c r="H9" s="10" t="s">
        <v>94</v>
      </c>
      <c r="I9" s="31" t="str">
        <f>IF(COUNTA(B9:H9)=0,"",IF(AND(ISNUMBER(B9),COUNTIFS(Listas!$I$2:$I$9,C9)=1,D9&lt;&gt;"",E9&lt;&gt;"",ISNUMBER(F9),OR(G9="Sim",G9="Não")),"OK","Revisar"))</f>
        <v>Revisar</v>
      </c>
    </row>
    <row r="10" spans="2:9">
      <c r="B10" s="19"/>
      <c r="C10" s="10"/>
      <c r="D10" s="10"/>
      <c r="E10" s="10"/>
      <c r="F10" s="16"/>
      <c r="G10" s="10"/>
      <c r="H10" s="10"/>
      <c r="I10" s="31" t="str">
        <f>IF(COUNTA(B10:H10)=0,"",IF(AND(ISNUMBER(B10),COUNTIFS(Listas!$I$2:$I$9,C10)=1,D10&lt;&gt;"",E10&lt;&gt;"",ISNUMBER(F10),OR(G10="Sim",G10="Não")),"OK","Revisar"))</f>
        <v/>
      </c>
    </row>
    <row r="11" spans="2:9">
      <c r="B11" s="19"/>
      <c r="C11" s="10"/>
      <c r="D11" s="10"/>
      <c r="E11" s="10"/>
      <c r="F11" s="16"/>
      <c r="G11" s="10"/>
      <c r="H11" s="10"/>
      <c r="I11" s="31" t="str">
        <f>IF(COUNTA(B11:H11)=0,"",IF(AND(ISNUMBER(B11),COUNTIFS(Listas!$I$2:$I$9,C11)=1,D11&lt;&gt;"",E11&lt;&gt;"",ISNUMBER(F11),OR(G11="Sim",G11="Não")),"OK","Revisar"))</f>
        <v/>
      </c>
    </row>
    <row r="12" spans="2:9">
      <c r="B12" s="19"/>
      <c r="C12" s="10"/>
      <c r="D12" s="10"/>
      <c r="E12" s="10"/>
      <c r="F12" s="16"/>
      <c r="G12" s="10"/>
      <c r="H12" s="10"/>
      <c r="I12" s="31" t="str">
        <f>IF(COUNTA(B12:H12)=0,"",IF(AND(ISNUMBER(B12),COUNTIFS(Listas!$I$2:$I$9,C12)=1,D12&lt;&gt;"",E12&lt;&gt;"",ISNUMBER(F12),OR(G12="Sim",G12="Não")),"OK","Revisar"))</f>
        <v/>
      </c>
    </row>
    <row r="13" spans="2:9">
      <c r="B13" s="19"/>
      <c r="C13" s="10"/>
      <c r="D13" s="10"/>
      <c r="E13" s="10"/>
      <c r="F13" s="16"/>
      <c r="G13" s="10"/>
      <c r="H13" s="10"/>
      <c r="I13" s="31" t="str">
        <f>IF(COUNTA(B13:H13)=0,"",IF(AND(ISNUMBER(B13),COUNTIFS(Listas!$I$2:$I$9,C13)=1,D13&lt;&gt;"",E13&lt;&gt;"",ISNUMBER(F13),OR(G13="Sim",G13="Não")),"OK","Revisar"))</f>
        <v/>
      </c>
    </row>
    <row r="14" spans="2:9">
      <c r="B14" s="19"/>
      <c r="C14" s="10"/>
      <c r="D14" s="10"/>
      <c r="E14" s="10"/>
      <c r="F14" s="16"/>
      <c r="G14" s="10"/>
      <c r="H14" s="10"/>
      <c r="I14" s="31" t="str">
        <f>IF(COUNTA(B14:H14)=0,"",IF(AND(ISNUMBER(B14),COUNTIFS(Listas!$I$2:$I$9,C14)=1,D14&lt;&gt;"",E14&lt;&gt;"",ISNUMBER(F14),OR(G14="Sim",G14="Não")),"OK","Revisar"))</f>
        <v/>
      </c>
    </row>
    <row r="15" spans="2:9">
      <c r="B15" s="19"/>
      <c r="C15" s="10"/>
      <c r="D15" s="10"/>
      <c r="E15" s="10"/>
      <c r="F15" s="16"/>
      <c r="G15" s="10"/>
      <c r="H15" s="10"/>
      <c r="I15" s="31" t="str">
        <f>IF(COUNTA(B15:H15)=0,"",IF(AND(ISNUMBER(B15),COUNTIFS(Listas!$I$2:$I$9,C15)=1,D15&lt;&gt;"",E15&lt;&gt;"",ISNUMBER(F15),OR(G15="Sim",G15="Não")),"OK","Revisar"))</f>
        <v/>
      </c>
    </row>
    <row r="16" spans="2:9">
      <c r="B16" s="19"/>
      <c r="C16" s="10"/>
      <c r="D16" s="10"/>
      <c r="E16" s="10"/>
      <c r="F16" s="16"/>
      <c r="G16" s="10"/>
      <c r="H16" s="10"/>
      <c r="I16" s="31" t="str">
        <f>IF(COUNTA(B16:H16)=0,"",IF(AND(ISNUMBER(B16),COUNTIFS(Listas!$I$2:$I$9,C16)=1,D16&lt;&gt;"",E16&lt;&gt;"",ISNUMBER(F16),OR(G16="Sim",G16="Não")),"OK","Revisar"))</f>
        <v/>
      </c>
    </row>
    <row r="17" spans="2:9">
      <c r="B17" s="19"/>
      <c r="C17" s="10"/>
      <c r="D17" s="10"/>
      <c r="E17" s="10"/>
      <c r="F17" s="16"/>
      <c r="G17" s="10"/>
      <c r="H17" s="10"/>
      <c r="I17" s="31" t="str">
        <f>IF(COUNTA(B17:H17)=0,"",IF(AND(ISNUMBER(B17),COUNTIFS(Listas!$I$2:$I$9,C17)=1,D17&lt;&gt;"",E17&lt;&gt;"",ISNUMBER(F17),OR(G17="Sim",G17="Não")),"OK","Revisar"))</f>
        <v/>
      </c>
    </row>
    <row r="18" spans="2:9">
      <c r="B18" s="19"/>
      <c r="C18" s="10"/>
      <c r="D18" s="10"/>
      <c r="E18" s="10"/>
      <c r="F18" s="16"/>
      <c r="G18" s="10"/>
      <c r="H18" s="10"/>
      <c r="I18" s="31" t="str">
        <f>IF(COUNTA(B18:H18)=0,"",IF(AND(ISNUMBER(B18),COUNTIFS(Listas!$I$2:$I$9,C18)=1,D18&lt;&gt;"",E18&lt;&gt;"",ISNUMBER(F18),OR(G18="Sim",G18="Não")),"OK","Revisar"))</f>
        <v/>
      </c>
    </row>
    <row r="19" spans="2:9">
      <c r="B19" s="19"/>
      <c r="C19" s="10"/>
      <c r="D19" s="10"/>
      <c r="E19" s="10"/>
      <c r="F19" s="16"/>
      <c r="G19" s="10"/>
      <c r="H19" s="10"/>
      <c r="I19" s="31" t="str">
        <f>IF(COUNTA(B19:H19)=0,"",IF(AND(ISNUMBER(B19),COUNTIFS(Listas!$I$2:$I$9,C19)=1,D19&lt;&gt;"",E19&lt;&gt;"",ISNUMBER(F19),OR(G19="Sim",G19="Não")),"OK","Revisar"))</f>
        <v/>
      </c>
    </row>
    <row r="20" spans="2:9">
      <c r="B20" s="19"/>
      <c r="C20" s="10"/>
      <c r="D20" s="10"/>
      <c r="E20" s="10"/>
      <c r="F20" s="16"/>
      <c r="G20" s="10"/>
      <c r="H20" s="10"/>
      <c r="I20" s="31" t="str">
        <f>IF(COUNTA(B20:H20)=0,"",IF(AND(ISNUMBER(B20),COUNTIFS(Listas!$I$2:$I$9,C20)=1,D20&lt;&gt;"",E20&lt;&gt;"",ISNUMBER(F20),OR(G20="Sim",G20="Não")),"OK","Revisar"))</f>
        <v/>
      </c>
    </row>
    <row r="21" spans="2:9">
      <c r="B21" s="19"/>
      <c r="C21" s="10"/>
      <c r="D21" s="10"/>
      <c r="E21" s="10"/>
      <c r="F21" s="16"/>
      <c r="G21" s="10"/>
      <c r="H21" s="10"/>
      <c r="I21" s="31" t="str">
        <f>IF(COUNTA(B21:H21)=0,"",IF(AND(ISNUMBER(B21),COUNTIFS(Listas!$I$2:$I$9,C21)=1,D21&lt;&gt;"",E21&lt;&gt;"",ISNUMBER(F21),OR(G21="Sim",G21="Não")),"OK","Revisar"))</f>
        <v/>
      </c>
    </row>
    <row r="22" spans="2:9">
      <c r="B22" s="19"/>
      <c r="C22" s="10"/>
      <c r="D22" s="10"/>
      <c r="E22" s="10"/>
      <c r="F22" s="16"/>
      <c r="G22" s="10"/>
      <c r="H22" s="10"/>
      <c r="I22" s="31" t="str">
        <f>IF(COUNTA(B22:H22)=0,"",IF(AND(ISNUMBER(B22),COUNTIFS(Listas!$I$2:$I$9,C22)=1,D22&lt;&gt;"",E22&lt;&gt;"",ISNUMBER(F22),OR(G22="Sim",G22="Não")),"OK","Revisar"))</f>
        <v/>
      </c>
    </row>
    <row r="23" spans="2:9">
      <c r="B23" s="19"/>
      <c r="C23" s="10"/>
      <c r="D23" s="10"/>
      <c r="E23" s="10"/>
      <c r="F23" s="16"/>
      <c r="G23" s="10"/>
      <c r="H23" s="10"/>
      <c r="I23" s="31" t="str">
        <f>IF(COUNTA(B23:H23)=0,"",IF(AND(ISNUMBER(B23),COUNTIFS(Listas!$I$2:$I$9,C23)=1,D23&lt;&gt;"",E23&lt;&gt;"",ISNUMBER(F23),OR(G23="Sim",G23="Não")),"OK","Revisar"))</f>
        <v/>
      </c>
    </row>
    <row r="24" spans="2:9">
      <c r="B24" s="19"/>
      <c r="C24" s="10"/>
      <c r="D24" s="10"/>
      <c r="E24" s="10"/>
      <c r="F24" s="16"/>
      <c r="G24" s="10"/>
      <c r="H24" s="10"/>
      <c r="I24" s="31" t="str">
        <f>IF(COUNTA(B24:H24)=0,"",IF(AND(ISNUMBER(B24),COUNTIFS(Listas!$I$2:$I$9,C24)=1,D24&lt;&gt;"",E24&lt;&gt;"",ISNUMBER(F24),OR(G24="Sim",G24="Não")),"OK","Revisar"))</f>
        <v/>
      </c>
    </row>
    <row r="25" spans="2:9">
      <c r="B25" s="19"/>
      <c r="C25" s="10"/>
      <c r="D25" s="10"/>
      <c r="E25" s="10"/>
      <c r="F25" s="16"/>
      <c r="G25" s="10"/>
      <c r="H25" s="10"/>
      <c r="I25" s="31" t="str">
        <f>IF(COUNTA(B25:H25)=0,"",IF(AND(ISNUMBER(B25),COUNTIFS(Listas!$I$2:$I$9,C25)=1,D25&lt;&gt;"",E25&lt;&gt;"",ISNUMBER(F25),OR(G25="Sim",G25="Não")),"OK","Revisar"))</f>
        <v/>
      </c>
    </row>
    <row r="26" spans="2:9">
      <c r="B26" s="20"/>
      <c r="C26" s="11"/>
      <c r="D26" s="11"/>
      <c r="E26" s="11"/>
      <c r="F26" s="17"/>
      <c r="G26" s="11"/>
      <c r="H26" s="11"/>
      <c r="I26" s="31" t="str">
        <f>IF(COUNTA(B26:H26)=0,"",IF(AND(ISNUMBER(B26),COUNTIFS(Listas!$I$2:$I$9,C26)=1,D26&lt;&gt;"",E26&lt;&gt;"",ISNUMBER(F26),OR(G26="Sim",G26="Não")),"OK","Revisar"))</f>
        <v/>
      </c>
    </row>
  </sheetData>
  <mergeCells count="2">
    <mergeCell ref="B4:H4"/>
    <mergeCell ref="B5:H5"/>
  </mergeCells>
  <conditionalFormatting sqref="G7:G26">
    <cfRule type="containsText" dxfId="6" priority="1" operator="containsText" text="Verificar"/>
  </conditionalFormatting>
  <conditionalFormatting sqref="I7:I26">
    <cfRule type="containsText" dxfId="5" priority="2" operator="containsText" text="Revisar"/>
    <cfRule type="containsText" dxfId="4" priority="3" operator="containsText" text="OK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76B55"/>
  </sheetPr>
  <dimension ref="B1:H26"/>
  <sheetViews>
    <sheetView showGridLines="0" workbookViewId="0">
      <pane ySplit="6" topLeftCell="A7" activePane="bottomLeft" state="frozen"/>
      <selection pane="bottomLeft" activeCell="E20" sqref="E20"/>
    </sheetView>
  </sheetViews>
  <sheetFormatPr defaultRowHeight="13.8"/>
  <cols>
    <col min="2" max="2" width="20" customWidth="1"/>
    <col min="3" max="3" width="34" customWidth="1"/>
    <col min="4" max="4" width="18" customWidth="1"/>
    <col min="5" max="5" width="34" customWidth="1"/>
    <col min="6" max="6" width="28" customWidth="1"/>
    <col min="7" max="7" width="15" customWidth="1"/>
    <col min="8" max="8" width="16" customWidth="1"/>
  </cols>
  <sheetData>
    <row r="1" spans="2:8">
      <c r="B1" s="22"/>
      <c r="C1" s="22"/>
      <c r="D1" s="22"/>
      <c r="E1" s="22"/>
      <c r="F1" s="22"/>
      <c r="G1" s="22"/>
      <c r="H1" s="22"/>
    </row>
    <row r="2" spans="2:8" ht="25.05" customHeight="1">
      <c r="B2" s="1" t="str">
        <f>HYPERLINK("#'Resumo'!B2","Resumo")</f>
        <v>Resumo</v>
      </c>
      <c r="C2" s="2" t="str">
        <f>HYPERLINK("#'Titular'!B2","Titular")</f>
        <v>Titular</v>
      </c>
      <c r="D2" s="2" t="str">
        <f>HYPERLINK("#'Bancos'!B2","Bancos")</f>
        <v>Bancos</v>
      </c>
      <c r="E2" s="2" t="str">
        <f>HYPERLINK("#'Rendimentos'!B2","Rendimentos")</f>
        <v>Rendimentos</v>
      </c>
      <c r="F2" s="2" t="str">
        <f>HYPERLINK("#'Bens'!B2","Bens")</f>
        <v>Bens</v>
      </c>
      <c r="G2" s="2" t="str">
        <f>HYPERLINK("#'Pagamentos'!B2","Pagamentos")</f>
        <v>Pagamentos</v>
      </c>
      <c r="H2" s="21" t="str">
        <f>HYPERLINK("#'Documentos'!B2","Documentos")</f>
        <v>Documentos</v>
      </c>
    </row>
    <row r="3" spans="2:8">
      <c r="B3" s="23"/>
      <c r="C3" s="23"/>
      <c r="D3" s="23"/>
      <c r="E3" s="23"/>
      <c r="F3" s="23"/>
      <c r="G3" s="23"/>
      <c r="H3" s="23"/>
    </row>
    <row r="4" spans="2:8" ht="19.2">
      <c r="B4" s="36" t="s">
        <v>95</v>
      </c>
      <c r="C4" s="36"/>
      <c r="D4" s="36"/>
      <c r="E4" s="36"/>
      <c r="F4" s="36"/>
      <c r="G4" s="36"/>
      <c r="H4" s="36"/>
    </row>
    <row r="5" spans="2:8">
      <c r="B5" s="37"/>
      <c r="C5" s="37"/>
      <c r="D5" s="37"/>
      <c r="E5" s="37"/>
      <c r="F5" s="37"/>
      <c r="G5" s="37"/>
      <c r="H5" s="37"/>
    </row>
    <row r="6" spans="2:8">
      <c r="B6" s="12" t="s">
        <v>54</v>
      </c>
      <c r="C6" s="13" t="s">
        <v>74</v>
      </c>
      <c r="D6" s="13" t="s">
        <v>10</v>
      </c>
      <c r="E6" s="13" t="s">
        <v>41</v>
      </c>
      <c r="F6" s="13" t="s">
        <v>96</v>
      </c>
      <c r="G6" s="14" t="s">
        <v>42</v>
      </c>
      <c r="H6" s="23"/>
    </row>
    <row r="7" spans="2:8">
      <c r="B7" s="9" t="s">
        <v>38</v>
      </c>
      <c r="C7" s="9" t="s">
        <v>97</v>
      </c>
      <c r="D7" s="9" t="s">
        <v>98</v>
      </c>
      <c r="E7" s="9" t="s">
        <v>99</v>
      </c>
      <c r="F7" s="9" t="s">
        <v>100</v>
      </c>
      <c r="G7" s="31" t="str">
        <f t="shared" ref="G7:G26" si="0">IF(COUNTA(B7:F7)=0,"",IF(AND(B7&lt;&gt;"",C7&lt;&gt;"",OR(D7="Pendente",D7="Recebido",D7="Não aplicável")),"OK","Revisar"))</f>
        <v>OK</v>
      </c>
      <c r="H7" s="23"/>
    </row>
    <row r="8" spans="2:8">
      <c r="B8" s="10" t="s">
        <v>101</v>
      </c>
      <c r="C8" s="10" t="s">
        <v>102</v>
      </c>
      <c r="D8" s="10" t="s">
        <v>98</v>
      </c>
      <c r="E8" s="10" t="s">
        <v>103</v>
      </c>
      <c r="F8" s="10"/>
      <c r="G8" s="31" t="str">
        <f t="shared" si="0"/>
        <v>OK</v>
      </c>
      <c r="H8" s="23"/>
    </row>
    <row r="9" spans="2:8">
      <c r="B9" s="10" t="s">
        <v>101</v>
      </c>
      <c r="C9" s="10" t="s">
        <v>104</v>
      </c>
      <c r="D9" s="10" t="s">
        <v>51</v>
      </c>
      <c r="E9" s="10"/>
      <c r="F9" s="10" t="s">
        <v>105</v>
      </c>
      <c r="G9" s="31" t="str">
        <f t="shared" si="0"/>
        <v>OK</v>
      </c>
      <c r="H9" s="23"/>
    </row>
    <row r="10" spans="2:8">
      <c r="B10" s="10" t="s">
        <v>13</v>
      </c>
      <c r="C10" s="10" t="s">
        <v>106</v>
      </c>
      <c r="D10" s="10" t="s">
        <v>98</v>
      </c>
      <c r="E10" s="10" t="s">
        <v>107</v>
      </c>
      <c r="F10" s="10"/>
      <c r="G10" s="31" t="str">
        <f t="shared" si="0"/>
        <v>OK</v>
      </c>
      <c r="H10" s="23"/>
    </row>
    <row r="11" spans="2:8">
      <c r="B11" s="10" t="s">
        <v>108</v>
      </c>
      <c r="C11" s="10" t="s">
        <v>109</v>
      </c>
      <c r="D11" s="10" t="s">
        <v>51</v>
      </c>
      <c r="E11" s="10"/>
      <c r="F11" s="10" t="s">
        <v>110</v>
      </c>
      <c r="G11" s="31" t="str">
        <f t="shared" si="0"/>
        <v>OK</v>
      </c>
      <c r="H11" s="23"/>
    </row>
    <row r="12" spans="2:8">
      <c r="B12" s="10"/>
      <c r="C12" s="10"/>
      <c r="D12" s="10"/>
      <c r="E12" s="10"/>
      <c r="F12" s="10"/>
      <c r="G12" s="31" t="str">
        <f t="shared" si="0"/>
        <v/>
      </c>
      <c r="H12" s="23"/>
    </row>
    <row r="13" spans="2:8">
      <c r="B13" s="10"/>
      <c r="C13" s="10"/>
      <c r="D13" s="10"/>
      <c r="E13" s="10"/>
      <c r="F13" s="10"/>
      <c r="G13" s="31" t="str">
        <f t="shared" si="0"/>
        <v/>
      </c>
      <c r="H13" s="23"/>
    </row>
    <row r="14" spans="2:8">
      <c r="B14" s="10"/>
      <c r="C14" s="10"/>
      <c r="D14" s="10"/>
      <c r="E14" s="10"/>
      <c r="F14" s="10"/>
      <c r="G14" s="31" t="str">
        <f t="shared" si="0"/>
        <v/>
      </c>
      <c r="H14" s="23"/>
    </row>
    <row r="15" spans="2:8">
      <c r="B15" s="10"/>
      <c r="C15" s="10"/>
      <c r="D15" s="10"/>
      <c r="E15" s="10"/>
      <c r="F15" s="10"/>
      <c r="G15" s="31" t="str">
        <f t="shared" si="0"/>
        <v/>
      </c>
      <c r="H15" s="23"/>
    </row>
    <row r="16" spans="2:8">
      <c r="B16" s="10"/>
      <c r="C16" s="10"/>
      <c r="D16" s="10"/>
      <c r="E16" s="10"/>
      <c r="F16" s="10"/>
      <c r="G16" s="31" t="str">
        <f t="shared" si="0"/>
        <v/>
      </c>
      <c r="H16" s="23"/>
    </row>
    <row r="17" spans="2:8">
      <c r="B17" s="10"/>
      <c r="C17" s="10"/>
      <c r="D17" s="10"/>
      <c r="E17" s="10"/>
      <c r="F17" s="10"/>
      <c r="G17" s="31" t="str">
        <f t="shared" si="0"/>
        <v/>
      </c>
      <c r="H17" s="23"/>
    </row>
    <row r="18" spans="2:8">
      <c r="B18" s="10"/>
      <c r="C18" s="10"/>
      <c r="D18" s="10"/>
      <c r="E18" s="10"/>
      <c r="F18" s="10"/>
      <c r="G18" s="31" t="str">
        <f t="shared" si="0"/>
        <v/>
      </c>
      <c r="H18" s="23"/>
    </row>
    <row r="19" spans="2:8">
      <c r="B19" s="10"/>
      <c r="C19" s="10"/>
      <c r="D19" s="10"/>
      <c r="E19" s="10"/>
      <c r="F19" s="10"/>
      <c r="G19" s="31" t="str">
        <f t="shared" si="0"/>
        <v/>
      </c>
      <c r="H19" s="23"/>
    </row>
    <row r="20" spans="2:8">
      <c r="B20" s="10"/>
      <c r="C20" s="10"/>
      <c r="D20" s="10"/>
      <c r="E20" s="10"/>
      <c r="F20" s="10"/>
      <c r="G20" s="31" t="str">
        <f t="shared" si="0"/>
        <v/>
      </c>
      <c r="H20" s="23"/>
    </row>
    <row r="21" spans="2:8">
      <c r="B21" s="10"/>
      <c r="C21" s="10"/>
      <c r="D21" s="10"/>
      <c r="E21" s="10"/>
      <c r="F21" s="10"/>
      <c r="G21" s="31" t="str">
        <f t="shared" si="0"/>
        <v/>
      </c>
      <c r="H21" s="23"/>
    </row>
    <row r="22" spans="2:8">
      <c r="B22" s="10"/>
      <c r="C22" s="10"/>
      <c r="D22" s="10"/>
      <c r="E22" s="10"/>
      <c r="F22" s="10"/>
      <c r="G22" s="31" t="str">
        <f t="shared" si="0"/>
        <v/>
      </c>
      <c r="H22" s="23"/>
    </row>
    <row r="23" spans="2:8">
      <c r="B23" s="10"/>
      <c r="C23" s="10"/>
      <c r="D23" s="10"/>
      <c r="E23" s="10"/>
      <c r="F23" s="10"/>
      <c r="G23" s="31" t="str">
        <f t="shared" si="0"/>
        <v/>
      </c>
      <c r="H23" s="23"/>
    </row>
    <row r="24" spans="2:8">
      <c r="B24" s="10"/>
      <c r="C24" s="10"/>
      <c r="D24" s="10"/>
      <c r="E24" s="10"/>
      <c r="F24" s="10"/>
      <c r="G24" s="31" t="str">
        <f t="shared" si="0"/>
        <v/>
      </c>
      <c r="H24" s="23"/>
    </row>
    <row r="25" spans="2:8">
      <c r="B25" s="10"/>
      <c r="C25" s="10"/>
      <c r="D25" s="10"/>
      <c r="E25" s="10"/>
      <c r="F25" s="10"/>
      <c r="G25" s="31" t="str">
        <f t="shared" si="0"/>
        <v/>
      </c>
      <c r="H25" s="23"/>
    </row>
    <row r="26" spans="2:8">
      <c r="B26" s="11"/>
      <c r="C26" s="11"/>
      <c r="D26" s="11"/>
      <c r="E26" s="11"/>
      <c r="F26" s="11"/>
      <c r="G26" s="31" t="str">
        <f t="shared" si="0"/>
        <v/>
      </c>
      <c r="H26" s="23"/>
    </row>
  </sheetData>
  <mergeCells count="2">
    <mergeCell ref="B4:H4"/>
    <mergeCell ref="B5:H5"/>
  </mergeCells>
  <conditionalFormatting sqref="D7:D26">
    <cfRule type="containsText" dxfId="3" priority="1" operator="containsText" text="Pendente"/>
    <cfRule type="containsText" dxfId="2" priority="2" operator="containsText" text="Recebido"/>
  </conditionalFormatting>
  <conditionalFormatting sqref="G7:G26">
    <cfRule type="containsText" dxfId="1" priority="3" operator="containsText" text="Revisar"/>
    <cfRule type="containsText" dxfId="0" priority="4" operator="containsText" text="OK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AA6B2"/>
  </sheetPr>
  <dimension ref="A1:L5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38" customWidth="1"/>
    <col min="3" max="3" width="23" customWidth="1"/>
    <col min="5" max="5" width="24" customWidth="1"/>
    <col min="7" max="7" width="24" customWidth="1"/>
    <col min="9" max="9" width="25" customWidth="1"/>
    <col min="11" max="11" width="24" customWidth="1"/>
    <col min="12" max="12" width="56" customWidth="1"/>
  </cols>
  <sheetData>
    <row r="1" spans="1:12">
      <c r="A1" s="32" t="s">
        <v>101</v>
      </c>
      <c r="B1" s="23"/>
      <c r="C1" s="32" t="s">
        <v>111</v>
      </c>
      <c r="D1" s="23"/>
      <c r="E1" s="32" t="s">
        <v>13</v>
      </c>
      <c r="F1" s="23"/>
      <c r="G1" s="32" t="s">
        <v>112</v>
      </c>
      <c r="H1" s="23"/>
      <c r="I1" s="32" t="s">
        <v>108</v>
      </c>
      <c r="J1" s="23"/>
      <c r="K1" s="33" t="s">
        <v>113</v>
      </c>
      <c r="L1" s="33" t="s">
        <v>69</v>
      </c>
    </row>
    <row r="2" spans="1:12" ht="14.4">
      <c r="A2" s="34" t="s">
        <v>43</v>
      </c>
      <c r="B2" s="61" t="s">
        <v>114</v>
      </c>
      <c r="C2" s="61" t="s">
        <v>44</v>
      </c>
      <c r="D2" s="61"/>
      <c r="E2" s="61" t="s">
        <v>60</v>
      </c>
      <c r="F2" s="61"/>
      <c r="G2" s="61" t="s">
        <v>115</v>
      </c>
      <c r="H2" s="61"/>
      <c r="I2" s="34" t="s">
        <v>85</v>
      </c>
      <c r="J2" s="23"/>
      <c r="K2" s="35" t="s">
        <v>116</v>
      </c>
      <c r="L2" s="23" t="s">
        <v>117</v>
      </c>
    </row>
    <row r="3" spans="1:12">
      <c r="A3" s="34" t="s">
        <v>118</v>
      </c>
      <c r="B3" s="34"/>
      <c r="C3" s="34" t="s">
        <v>119</v>
      </c>
      <c r="D3" s="34"/>
      <c r="E3" s="34" t="s">
        <v>120</v>
      </c>
      <c r="F3" s="34"/>
      <c r="G3" s="34" t="s">
        <v>75</v>
      </c>
      <c r="H3" s="34"/>
      <c r="I3" s="34" t="s">
        <v>88</v>
      </c>
      <c r="J3" s="23"/>
      <c r="K3" s="35" t="s">
        <v>121</v>
      </c>
      <c r="L3" s="23" t="s">
        <v>122</v>
      </c>
    </row>
    <row r="4" spans="1:12" ht="19.2">
      <c r="A4" s="34" t="s">
        <v>123</v>
      </c>
      <c r="B4" s="62" t="s">
        <v>124</v>
      </c>
      <c r="C4" s="62" t="s">
        <v>48</v>
      </c>
      <c r="D4" s="62"/>
      <c r="E4" s="62" t="s">
        <v>125</v>
      </c>
      <c r="F4" s="62"/>
      <c r="G4" s="62" t="s">
        <v>78</v>
      </c>
      <c r="H4" s="62"/>
      <c r="I4" s="34" t="s">
        <v>126</v>
      </c>
      <c r="J4" s="23"/>
      <c r="K4" s="35" t="s">
        <v>127</v>
      </c>
      <c r="L4" s="23" t="s">
        <v>128</v>
      </c>
    </row>
    <row r="5" spans="1:12">
      <c r="A5" s="34" t="s">
        <v>129</v>
      </c>
      <c r="B5" s="34"/>
      <c r="C5" s="34" t="s">
        <v>130</v>
      </c>
      <c r="D5" s="34"/>
      <c r="E5" s="34" t="s">
        <v>131</v>
      </c>
      <c r="F5" s="34"/>
      <c r="G5" s="34" t="s">
        <v>132</v>
      </c>
      <c r="H5" s="34"/>
      <c r="I5" s="34" t="s">
        <v>133</v>
      </c>
      <c r="J5" s="23"/>
      <c r="K5" s="35" t="s">
        <v>134</v>
      </c>
      <c r="L5" s="23" t="s">
        <v>135</v>
      </c>
    </row>
    <row r="6" spans="1:12">
      <c r="A6" s="34" t="s">
        <v>136</v>
      </c>
      <c r="B6" s="34"/>
      <c r="C6" s="34" t="s">
        <v>137</v>
      </c>
      <c r="D6" s="34"/>
      <c r="E6" s="34" t="s">
        <v>138</v>
      </c>
      <c r="F6" s="34"/>
      <c r="G6" s="34" t="s">
        <v>139</v>
      </c>
      <c r="H6" s="34"/>
      <c r="I6" s="34" t="s">
        <v>91</v>
      </c>
      <c r="J6" s="23"/>
      <c r="K6" s="23"/>
      <c r="L6" s="23"/>
    </row>
    <row r="7" spans="1:12">
      <c r="A7" s="34" t="s">
        <v>140</v>
      </c>
      <c r="B7" s="34"/>
      <c r="C7" s="34" t="s">
        <v>141</v>
      </c>
      <c r="D7" s="34"/>
      <c r="E7" s="34" t="s">
        <v>65</v>
      </c>
      <c r="F7" s="34"/>
      <c r="G7" s="34" t="s">
        <v>142</v>
      </c>
      <c r="H7" s="34"/>
      <c r="I7" s="34" t="s">
        <v>131</v>
      </c>
      <c r="J7" s="23"/>
      <c r="K7" s="23"/>
      <c r="L7" s="23"/>
    </row>
    <row r="8" spans="1:12">
      <c r="A8" s="34" t="s">
        <v>143</v>
      </c>
      <c r="B8" s="34"/>
      <c r="C8" s="34"/>
      <c r="D8" s="34"/>
      <c r="E8" s="34" t="s">
        <v>144</v>
      </c>
      <c r="F8" s="34"/>
      <c r="G8" s="34" t="s">
        <v>145</v>
      </c>
      <c r="H8" s="34"/>
      <c r="I8" s="34" t="s">
        <v>146</v>
      </c>
      <c r="J8" s="23"/>
      <c r="K8" s="23"/>
      <c r="L8" s="23"/>
    </row>
    <row r="9" spans="1:12">
      <c r="A9" s="34" t="s">
        <v>147</v>
      </c>
      <c r="B9" s="34"/>
      <c r="C9" s="34"/>
      <c r="D9" s="34"/>
      <c r="E9" s="34" t="s">
        <v>148</v>
      </c>
      <c r="F9" s="34"/>
      <c r="G9" s="34" t="s">
        <v>141</v>
      </c>
      <c r="H9" s="34"/>
      <c r="I9" s="34" t="s">
        <v>148</v>
      </c>
      <c r="J9" s="23"/>
      <c r="K9" s="23"/>
      <c r="L9" s="23"/>
    </row>
    <row r="10" spans="1:12">
      <c r="A10" s="34" t="s">
        <v>149</v>
      </c>
      <c r="B10" s="34"/>
      <c r="C10" s="34"/>
      <c r="D10" s="34"/>
      <c r="E10" s="34"/>
      <c r="F10" s="34"/>
      <c r="G10" s="34"/>
      <c r="H10" s="34"/>
      <c r="I10" s="34"/>
      <c r="J10" s="23"/>
      <c r="K10" s="23"/>
      <c r="L10" s="23"/>
    </row>
    <row r="11" spans="1:12">
      <c r="A11" s="34" t="s">
        <v>150</v>
      </c>
      <c r="B11" s="34"/>
      <c r="C11" s="34"/>
      <c r="D11" s="34"/>
      <c r="E11" s="34"/>
      <c r="F11" s="34"/>
      <c r="G11" s="34"/>
      <c r="H11" s="34"/>
      <c r="I11" s="34"/>
      <c r="J11" s="23"/>
      <c r="K11" s="23"/>
      <c r="L11" s="23"/>
    </row>
    <row r="12" spans="1:12">
      <c r="A12" s="34" t="s">
        <v>151</v>
      </c>
      <c r="B12" s="34"/>
      <c r="C12" s="34"/>
      <c r="D12" s="34"/>
      <c r="E12" s="34"/>
      <c r="F12" s="34"/>
      <c r="G12" s="34"/>
      <c r="H12" s="34"/>
      <c r="I12" s="34"/>
      <c r="J12" s="23"/>
      <c r="K12" s="23"/>
      <c r="L12" s="23"/>
    </row>
    <row r="13" spans="1:12">
      <c r="A13" s="34" t="s">
        <v>152</v>
      </c>
      <c r="B13" s="34"/>
      <c r="C13" s="34"/>
      <c r="D13" s="34"/>
      <c r="E13" s="34"/>
      <c r="F13" s="34"/>
      <c r="G13" s="34"/>
      <c r="H13" s="34"/>
      <c r="I13" s="34"/>
      <c r="J13" s="23"/>
      <c r="K13" s="23"/>
      <c r="L13" s="23"/>
    </row>
    <row r="14" spans="1:12">
      <c r="A14" s="34" t="s">
        <v>153</v>
      </c>
      <c r="B14" s="34"/>
      <c r="C14" s="34"/>
      <c r="D14" s="34"/>
      <c r="E14" s="34"/>
      <c r="F14" s="34"/>
      <c r="G14" s="34"/>
      <c r="H14" s="34"/>
      <c r="I14" s="34"/>
      <c r="J14" s="23"/>
      <c r="K14" s="23"/>
      <c r="L14" s="23"/>
    </row>
    <row r="15" spans="1:12">
      <c r="A15" s="34" t="s">
        <v>154</v>
      </c>
      <c r="B15" s="34"/>
      <c r="C15" s="34"/>
      <c r="D15" s="34"/>
      <c r="E15" s="34"/>
      <c r="F15" s="34"/>
      <c r="G15" s="34"/>
      <c r="H15" s="34"/>
      <c r="I15" s="34"/>
      <c r="J15" s="23"/>
      <c r="K15" s="23"/>
      <c r="L15" s="23"/>
    </row>
    <row r="16" spans="1:12">
      <c r="A16" s="34" t="s">
        <v>47</v>
      </c>
      <c r="B16" s="34"/>
      <c r="C16" s="34"/>
      <c r="D16" s="34"/>
      <c r="E16" s="34"/>
      <c r="F16" s="34"/>
      <c r="G16" s="34"/>
      <c r="H16" s="34"/>
      <c r="I16" s="34"/>
      <c r="J16" s="23"/>
      <c r="K16" s="23"/>
      <c r="L16" s="23"/>
    </row>
    <row r="17" spans="1:12">
      <c r="A17" s="34" t="s">
        <v>155</v>
      </c>
      <c r="B17" s="34"/>
      <c r="C17" s="34"/>
      <c r="D17" s="34"/>
      <c r="E17" s="34"/>
      <c r="F17" s="34"/>
      <c r="G17" s="34"/>
      <c r="H17" s="34"/>
      <c r="I17" s="34"/>
      <c r="J17" s="23"/>
      <c r="K17" s="23"/>
      <c r="L17" s="23"/>
    </row>
    <row r="18" spans="1:12">
      <c r="A18" s="34" t="s">
        <v>156</v>
      </c>
      <c r="B18" s="34"/>
      <c r="C18" s="34"/>
      <c r="D18" s="34"/>
      <c r="E18" s="34"/>
      <c r="F18" s="34"/>
      <c r="G18" s="34"/>
      <c r="H18" s="34"/>
      <c r="I18" s="34"/>
      <c r="J18" s="23"/>
      <c r="K18" s="23"/>
      <c r="L18" s="23"/>
    </row>
    <row r="19" spans="1:12">
      <c r="A19" s="34" t="s">
        <v>157</v>
      </c>
      <c r="B19" s="34"/>
      <c r="C19" s="34"/>
      <c r="D19" s="34"/>
      <c r="E19" s="34"/>
      <c r="F19" s="34"/>
      <c r="G19" s="34"/>
      <c r="H19" s="34"/>
      <c r="I19" s="34"/>
      <c r="J19" s="23"/>
      <c r="K19" s="23"/>
      <c r="L19" s="23"/>
    </row>
    <row r="20" spans="1:12">
      <c r="A20" s="34" t="s">
        <v>158</v>
      </c>
      <c r="B20" s="34"/>
      <c r="C20" s="34"/>
      <c r="D20" s="34"/>
      <c r="E20" s="34"/>
      <c r="F20" s="34"/>
      <c r="G20" s="34"/>
      <c r="H20" s="34"/>
      <c r="I20" s="34"/>
      <c r="J20" s="23"/>
      <c r="K20" s="23"/>
      <c r="L20" s="23"/>
    </row>
    <row r="21" spans="1:12">
      <c r="A21" s="34" t="s">
        <v>159</v>
      </c>
      <c r="B21" s="34"/>
      <c r="C21" s="34"/>
      <c r="D21" s="34"/>
      <c r="E21" s="34"/>
      <c r="F21" s="34"/>
      <c r="G21" s="34"/>
      <c r="H21" s="34"/>
      <c r="I21" s="34"/>
      <c r="J21" s="23"/>
      <c r="K21" s="23"/>
      <c r="L21" s="23"/>
    </row>
    <row r="22" spans="1:12">
      <c r="A22" s="34" t="s">
        <v>160</v>
      </c>
      <c r="B22" s="34"/>
      <c r="C22" s="34"/>
      <c r="D22" s="34"/>
      <c r="E22" s="34"/>
      <c r="F22" s="34"/>
      <c r="G22" s="34"/>
      <c r="H22" s="34"/>
      <c r="I22" s="34"/>
      <c r="J22" s="23"/>
      <c r="K22" s="23"/>
      <c r="L22" s="23"/>
    </row>
    <row r="23" spans="1:12">
      <c r="A23" s="34" t="s">
        <v>161</v>
      </c>
      <c r="B23" s="34"/>
      <c r="C23" s="34"/>
      <c r="D23" s="34"/>
      <c r="E23" s="34"/>
      <c r="F23" s="34"/>
      <c r="G23" s="34"/>
      <c r="H23" s="34"/>
      <c r="I23" s="34"/>
      <c r="J23" s="23"/>
      <c r="K23" s="23"/>
      <c r="L23" s="23"/>
    </row>
    <row r="24" spans="1:12">
      <c r="A24" s="34" t="s">
        <v>162</v>
      </c>
      <c r="B24" s="34"/>
      <c r="C24" s="34"/>
      <c r="D24" s="34"/>
      <c r="E24" s="34"/>
      <c r="F24" s="34"/>
      <c r="G24" s="34"/>
      <c r="H24" s="34"/>
      <c r="I24" s="34"/>
      <c r="J24" s="23"/>
      <c r="K24" s="23"/>
      <c r="L24" s="23"/>
    </row>
    <row r="25" spans="1:12">
      <c r="A25" s="34" t="s">
        <v>163</v>
      </c>
      <c r="B25" s="34"/>
      <c r="C25" s="34"/>
      <c r="D25" s="34"/>
      <c r="E25" s="34"/>
      <c r="F25" s="34"/>
      <c r="G25" s="34"/>
      <c r="H25" s="34"/>
      <c r="I25" s="34"/>
      <c r="J25" s="23"/>
      <c r="K25" s="23"/>
      <c r="L25" s="23"/>
    </row>
    <row r="26" spans="1:12">
      <c r="A26" s="34" t="s">
        <v>164</v>
      </c>
      <c r="B26" s="34"/>
      <c r="C26" s="34"/>
      <c r="D26" s="34"/>
      <c r="E26" s="34"/>
      <c r="F26" s="34"/>
      <c r="G26" s="34"/>
      <c r="H26" s="34"/>
      <c r="I26" s="34"/>
      <c r="J26" s="23"/>
      <c r="K26" s="23"/>
      <c r="L26" s="23"/>
    </row>
    <row r="27" spans="1:12">
      <c r="A27" s="34" t="s">
        <v>165</v>
      </c>
      <c r="B27" s="34"/>
      <c r="C27" s="34"/>
      <c r="D27" s="34"/>
      <c r="E27" s="34"/>
      <c r="F27" s="34"/>
      <c r="G27" s="34"/>
      <c r="H27" s="34"/>
      <c r="I27" s="34"/>
      <c r="J27" s="23"/>
      <c r="K27" s="23"/>
      <c r="L27" s="23"/>
    </row>
    <row r="28" spans="1:12">
      <c r="A28" s="34" t="s">
        <v>166</v>
      </c>
      <c r="B28" s="34"/>
      <c r="C28" s="34"/>
      <c r="D28" s="34"/>
      <c r="E28" s="34"/>
      <c r="F28" s="34"/>
      <c r="G28" s="34"/>
      <c r="H28" s="34"/>
      <c r="I28" s="34"/>
      <c r="J28" s="23"/>
      <c r="K28" s="23"/>
      <c r="L28" s="23"/>
    </row>
    <row r="29" spans="1:12">
      <c r="A29" s="34" t="s">
        <v>167</v>
      </c>
      <c r="B29" s="34"/>
      <c r="C29" s="34"/>
      <c r="D29" s="34"/>
      <c r="E29" s="34"/>
      <c r="F29" s="34"/>
      <c r="G29" s="34"/>
      <c r="H29" s="34"/>
      <c r="I29" s="34"/>
      <c r="J29" s="23"/>
      <c r="K29" s="23"/>
      <c r="L29" s="23"/>
    </row>
    <row r="30" spans="1:12">
      <c r="A30" s="34" t="s">
        <v>168</v>
      </c>
      <c r="B30" s="34"/>
      <c r="C30" s="34"/>
      <c r="D30" s="34"/>
      <c r="E30" s="34"/>
      <c r="F30" s="34"/>
      <c r="G30" s="34"/>
      <c r="H30" s="34"/>
      <c r="I30" s="34"/>
      <c r="J30" s="23"/>
      <c r="K30" s="23"/>
      <c r="L30" s="23"/>
    </row>
    <row r="31" spans="1:12">
      <c r="A31" s="34" t="s">
        <v>169</v>
      </c>
      <c r="B31" s="34"/>
      <c r="C31" s="34"/>
      <c r="D31" s="34"/>
      <c r="E31" s="34"/>
      <c r="F31" s="34"/>
      <c r="G31" s="34"/>
      <c r="H31" s="34"/>
      <c r="I31" s="34"/>
      <c r="J31" s="23"/>
      <c r="K31" s="23"/>
      <c r="L31" s="23"/>
    </row>
    <row r="32" spans="1:12">
      <c r="A32" s="34" t="s">
        <v>170</v>
      </c>
      <c r="B32" s="34"/>
      <c r="C32" s="34"/>
      <c r="D32" s="34"/>
      <c r="E32" s="34"/>
      <c r="F32" s="34"/>
      <c r="G32" s="34"/>
      <c r="H32" s="34"/>
      <c r="I32" s="34"/>
      <c r="J32" s="23"/>
      <c r="K32" s="23"/>
      <c r="L32" s="23"/>
    </row>
    <row r="33" spans="1:12">
      <c r="A33" s="34" t="s">
        <v>171</v>
      </c>
      <c r="B33" s="34"/>
      <c r="C33" s="34"/>
      <c r="D33" s="34"/>
      <c r="E33" s="34"/>
      <c r="F33" s="34"/>
      <c r="G33" s="34"/>
      <c r="H33" s="34"/>
      <c r="I33" s="34"/>
      <c r="J33" s="23"/>
      <c r="K33" s="23"/>
      <c r="L33" s="23"/>
    </row>
    <row r="34" spans="1:12">
      <c r="A34" s="34" t="s">
        <v>172</v>
      </c>
      <c r="B34" s="34"/>
      <c r="C34" s="34"/>
      <c r="D34" s="34"/>
      <c r="E34" s="34"/>
      <c r="F34" s="34"/>
      <c r="G34" s="34"/>
      <c r="H34" s="34"/>
      <c r="I34" s="34"/>
      <c r="J34" s="23"/>
      <c r="K34" s="23"/>
      <c r="L34" s="23"/>
    </row>
    <row r="35" spans="1:12">
      <c r="A35" s="34" t="s">
        <v>173</v>
      </c>
      <c r="B35" s="34"/>
      <c r="C35" s="34"/>
      <c r="D35" s="34"/>
      <c r="E35" s="34"/>
      <c r="F35" s="34"/>
      <c r="G35" s="34"/>
      <c r="H35" s="34"/>
      <c r="I35" s="34"/>
      <c r="J35" s="23"/>
      <c r="K35" s="23"/>
      <c r="L35" s="23"/>
    </row>
    <row r="36" spans="1:12">
      <c r="A36" s="34" t="s">
        <v>174</v>
      </c>
      <c r="B36" s="34"/>
      <c r="C36" s="34"/>
      <c r="D36" s="34"/>
      <c r="E36" s="34"/>
      <c r="F36" s="34"/>
      <c r="G36" s="34"/>
      <c r="H36" s="34"/>
      <c r="I36" s="34"/>
      <c r="J36" s="23"/>
      <c r="K36" s="23"/>
      <c r="L36" s="23"/>
    </row>
    <row r="37" spans="1:12">
      <c r="A37" s="34" t="s">
        <v>175</v>
      </c>
      <c r="B37" s="34"/>
      <c r="C37" s="34"/>
      <c r="D37" s="34"/>
      <c r="E37" s="34"/>
      <c r="F37" s="34"/>
      <c r="G37" s="34"/>
      <c r="H37" s="34"/>
      <c r="I37" s="34"/>
      <c r="J37" s="23"/>
      <c r="K37" s="23"/>
      <c r="L37" s="23"/>
    </row>
    <row r="38" spans="1:12">
      <c r="A38" s="34" t="s">
        <v>176</v>
      </c>
      <c r="B38" s="34"/>
      <c r="C38" s="34"/>
      <c r="D38" s="34"/>
      <c r="E38" s="34"/>
      <c r="F38" s="34"/>
      <c r="G38" s="34"/>
      <c r="H38" s="34"/>
      <c r="I38" s="34"/>
      <c r="J38" s="23"/>
      <c r="K38" s="23"/>
      <c r="L38" s="23"/>
    </row>
    <row r="39" spans="1:12">
      <c r="A39" s="34" t="s">
        <v>177</v>
      </c>
      <c r="B39" s="34"/>
      <c r="C39" s="34"/>
      <c r="D39" s="34"/>
      <c r="E39" s="34"/>
      <c r="F39" s="34"/>
      <c r="G39" s="34"/>
      <c r="H39" s="34"/>
      <c r="I39" s="34"/>
      <c r="J39" s="23"/>
      <c r="K39" s="23"/>
      <c r="L39" s="23"/>
    </row>
    <row r="40" spans="1:12">
      <c r="A40" s="34" t="s">
        <v>178</v>
      </c>
      <c r="B40" s="34"/>
      <c r="C40" s="34"/>
      <c r="D40" s="34"/>
      <c r="E40" s="34"/>
      <c r="F40" s="34"/>
      <c r="G40" s="34"/>
      <c r="H40" s="34"/>
      <c r="I40" s="34"/>
      <c r="J40" s="23"/>
      <c r="K40" s="23"/>
      <c r="L40" s="23"/>
    </row>
    <row r="41" spans="1:12">
      <c r="A41" s="34" t="s">
        <v>179</v>
      </c>
      <c r="B41" s="34"/>
      <c r="C41" s="34"/>
      <c r="D41" s="34"/>
      <c r="E41" s="34"/>
      <c r="F41" s="34"/>
      <c r="G41" s="34"/>
      <c r="H41" s="34"/>
      <c r="I41" s="34"/>
      <c r="J41" s="23"/>
      <c r="K41" s="23"/>
      <c r="L41" s="23"/>
    </row>
    <row r="42" spans="1:12">
      <c r="A42" s="34" t="s">
        <v>180</v>
      </c>
      <c r="B42" s="34"/>
      <c r="C42" s="34"/>
      <c r="D42" s="34"/>
      <c r="E42" s="34"/>
      <c r="F42" s="34"/>
      <c r="G42" s="34"/>
      <c r="H42" s="34"/>
      <c r="I42" s="34"/>
      <c r="J42" s="23"/>
      <c r="K42" s="23"/>
      <c r="L42" s="23"/>
    </row>
    <row r="43" spans="1:12">
      <c r="A43" s="34" t="s">
        <v>181</v>
      </c>
      <c r="B43" s="34"/>
      <c r="C43" s="34"/>
      <c r="D43" s="34"/>
      <c r="E43" s="34"/>
      <c r="F43" s="34"/>
      <c r="G43" s="34"/>
      <c r="H43" s="34"/>
      <c r="I43" s="34"/>
      <c r="J43" s="23"/>
      <c r="K43" s="23"/>
      <c r="L43" s="23"/>
    </row>
    <row r="44" spans="1:12">
      <c r="A44" s="34" t="s">
        <v>182</v>
      </c>
      <c r="B44" s="34"/>
      <c r="C44" s="34"/>
      <c r="D44" s="34"/>
      <c r="E44" s="34"/>
      <c r="F44" s="34"/>
      <c r="G44" s="34"/>
      <c r="H44" s="34"/>
      <c r="I44" s="34"/>
      <c r="J44" s="23"/>
      <c r="K44" s="23"/>
      <c r="L44" s="23"/>
    </row>
    <row r="45" spans="1:12">
      <c r="A45" s="34" t="s">
        <v>183</v>
      </c>
      <c r="B45" s="34"/>
      <c r="C45" s="34"/>
      <c r="D45" s="34"/>
      <c r="E45" s="34"/>
      <c r="F45" s="34"/>
      <c r="G45" s="34"/>
      <c r="H45" s="34"/>
      <c r="I45" s="34"/>
      <c r="J45" s="23"/>
      <c r="K45" s="23"/>
      <c r="L45" s="23"/>
    </row>
    <row r="46" spans="1:12">
      <c r="A46" s="34" t="s">
        <v>184</v>
      </c>
      <c r="B46" s="34"/>
      <c r="C46" s="34"/>
      <c r="D46" s="34"/>
      <c r="E46" s="34"/>
      <c r="F46" s="34"/>
      <c r="G46" s="34"/>
      <c r="H46" s="34"/>
      <c r="I46" s="34"/>
      <c r="J46" s="23"/>
      <c r="K46" s="23"/>
      <c r="L46" s="23"/>
    </row>
    <row r="47" spans="1:12">
      <c r="A47" s="34" t="s">
        <v>185</v>
      </c>
      <c r="B47" s="34"/>
      <c r="C47" s="34"/>
      <c r="D47" s="34"/>
      <c r="E47" s="34"/>
      <c r="F47" s="34"/>
      <c r="G47" s="34"/>
      <c r="H47" s="34"/>
      <c r="I47" s="34"/>
      <c r="J47" s="23"/>
      <c r="K47" s="23"/>
      <c r="L47" s="23"/>
    </row>
    <row r="48" spans="1:12">
      <c r="A48" s="34" t="s">
        <v>186</v>
      </c>
      <c r="B48" s="34"/>
      <c r="C48" s="34"/>
      <c r="D48" s="34"/>
      <c r="E48" s="34"/>
      <c r="F48" s="34"/>
      <c r="G48" s="34"/>
      <c r="H48" s="34"/>
      <c r="I48" s="34"/>
      <c r="J48" s="23"/>
      <c r="K48" s="23"/>
      <c r="L48" s="23"/>
    </row>
    <row r="49" spans="1:12">
      <c r="A49" s="34" t="s">
        <v>50</v>
      </c>
      <c r="B49" s="34"/>
      <c r="C49" s="34"/>
      <c r="D49" s="34"/>
      <c r="E49" s="34"/>
      <c r="F49" s="34"/>
      <c r="G49" s="34"/>
      <c r="H49" s="34"/>
      <c r="I49" s="34"/>
      <c r="J49" s="23"/>
      <c r="K49" s="23"/>
      <c r="L49" s="23"/>
    </row>
    <row r="50" spans="1:12">
      <c r="A50" s="34" t="s">
        <v>187</v>
      </c>
      <c r="B50" s="34"/>
      <c r="C50" s="34"/>
      <c r="D50" s="34"/>
      <c r="E50" s="34"/>
      <c r="F50" s="34"/>
      <c r="G50" s="34"/>
      <c r="H50" s="34"/>
      <c r="I50" s="34"/>
      <c r="J50" s="23"/>
      <c r="K50" s="23"/>
      <c r="L50" s="23"/>
    </row>
    <row r="51" spans="1:12">
      <c r="A51" s="34" t="s">
        <v>188</v>
      </c>
      <c r="B51" s="34"/>
      <c r="C51" s="34"/>
      <c r="D51" s="34"/>
      <c r="E51" s="34"/>
      <c r="F51" s="34"/>
      <c r="G51" s="34"/>
      <c r="H51" s="34"/>
      <c r="I51" s="34"/>
      <c r="J51" s="23"/>
      <c r="K51" s="23"/>
      <c r="L51" s="23"/>
    </row>
  </sheetData>
  <mergeCells count="2">
    <mergeCell ref="B2:H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Titular</vt:lpstr>
      <vt:lpstr>Bancos</vt:lpstr>
      <vt:lpstr>Rendimentos</vt:lpstr>
      <vt:lpstr>Bens</vt:lpstr>
      <vt:lpstr>Pagamentos</vt:lpstr>
      <vt:lpstr>Documentos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Nunes</dc:creator>
  <cp:lastModifiedBy>Izabela Nunes</cp:lastModifiedBy>
  <dcterms:created xsi:type="dcterms:W3CDTF">2026-09-18T20:39:30Z</dcterms:created>
  <dcterms:modified xsi:type="dcterms:W3CDTF">2026-09-18T20:39:34Z</dcterms:modified>
</cp:coreProperties>
</file>